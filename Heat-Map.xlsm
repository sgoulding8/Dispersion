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10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sarahgoulding/Documents/R/Dispersion/"/>
    </mc:Choice>
  </mc:AlternateContent>
  <xr:revisionPtr revIDLastSave="0" documentId="13_ncr:1_{DF5393D2-ED0C-B34F-9C4A-C456E32A9A3B}" xr6:coauthVersionLast="47" xr6:coauthVersionMax="47" xr10:uidLastSave="{00000000-0000-0000-0000-000000000000}"/>
  <bookViews>
    <workbookView xWindow="1020" yWindow="500" windowWidth="28800" windowHeight="16100" xr2:uid="{6B2D5271-4596-FD47-ACBA-AD2FDB2055F0}"/>
  </bookViews>
  <sheets>
    <sheet name="Sheet1" sheetId="1" r:id="rId1"/>
    <sheet name="Sheet2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Z5" i="1" l="1"/>
  <c r="Z4" i="1"/>
  <c r="Z3" i="1"/>
  <c r="P392" i="1"/>
  <c r="S142" i="1"/>
  <c r="T4" i="1"/>
  <c r="S12" i="1"/>
  <c r="S14" i="1"/>
  <c r="S16" i="1"/>
  <c r="S20" i="1"/>
  <c r="S23" i="1"/>
  <c r="S25" i="1"/>
  <c r="S29" i="1"/>
  <c r="S38" i="1"/>
  <c r="S46" i="1"/>
  <c r="S52" i="1"/>
  <c r="S66" i="1"/>
  <c r="S72" i="1"/>
  <c r="S78" i="1"/>
  <c r="S88" i="1"/>
  <c r="S95" i="1"/>
  <c r="S101" i="1"/>
  <c r="S111" i="1"/>
  <c r="S118" i="1"/>
  <c r="S129" i="1"/>
  <c r="S134" i="1"/>
  <c r="S150" i="1"/>
  <c r="S155" i="1"/>
  <c r="S161" i="1"/>
  <c r="S169" i="1"/>
  <c r="S174" i="1"/>
  <c r="S180" i="1"/>
  <c r="S186" i="1"/>
  <c r="S192" i="1"/>
  <c r="S197" i="1"/>
  <c r="S200" i="1"/>
  <c r="S204" i="1"/>
  <c r="S208" i="1"/>
  <c r="S212" i="1"/>
  <c r="S217" i="1"/>
  <c r="S222" i="1"/>
  <c r="S225" i="1"/>
  <c r="S232" i="1"/>
  <c r="S238" i="1"/>
  <c r="S244" i="1"/>
  <c r="S250" i="1"/>
  <c r="S256" i="1"/>
  <c r="S260" i="1"/>
  <c r="S266" i="1"/>
  <c r="S272" i="1"/>
  <c r="S278" i="1"/>
  <c r="S286" i="1"/>
  <c r="S291" i="1"/>
  <c r="S300" i="1"/>
  <c r="S304" i="1"/>
  <c r="S313" i="1"/>
  <c r="S317" i="1"/>
  <c r="S323" i="1"/>
  <c r="S330" i="1"/>
  <c r="S337" i="1"/>
  <c r="S342" i="1"/>
  <c r="S349" i="1"/>
  <c r="S355" i="1"/>
  <c r="S360" i="1"/>
  <c r="S370" i="1"/>
  <c r="S374" i="1"/>
  <c r="S379" i="1"/>
  <c r="S385" i="1"/>
  <c r="S392" i="1"/>
  <c r="S7" i="1"/>
  <c r="S9" i="1"/>
  <c r="S3" i="1"/>
  <c r="W392" i="1"/>
  <c r="V392" i="1"/>
  <c r="N392" i="1"/>
  <c r="W391" i="1"/>
  <c r="V391" i="1"/>
  <c r="X391" i="1" s="1"/>
  <c r="T391" i="1"/>
  <c r="P391" i="1"/>
  <c r="N391" i="1"/>
  <c r="W390" i="1"/>
  <c r="V390" i="1"/>
  <c r="T390" i="1"/>
  <c r="P390" i="1"/>
  <c r="N390" i="1"/>
  <c r="W389" i="1"/>
  <c r="V389" i="1"/>
  <c r="X389" i="1" s="1"/>
  <c r="T389" i="1"/>
  <c r="P389" i="1"/>
  <c r="N389" i="1"/>
  <c r="W388" i="1"/>
  <c r="V388" i="1"/>
  <c r="X388" i="1" s="1"/>
  <c r="T388" i="1"/>
  <c r="P388" i="1"/>
  <c r="N388" i="1"/>
  <c r="W387" i="1"/>
  <c r="V387" i="1"/>
  <c r="T387" i="1"/>
  <c r="P387" i="1"/>
  <c r="N387" i="1"/>
  <c r="W386" i="1"/>
  <c r="V386" i="1"/>
  <c r="T386" i="1"/>
  <c r="Q386" i="1"/>
  <c r="Q387" i="1" s="1"/>
  <c r="P386" i="1"/>
  <c r="N386" i="1"/>
  <c r="W385" i="1"/>
  <c r="V385" i="1"/>
  <c r="X385" i="1" s="1"/>
  <c r="P385" i="1"/>
  <c r="N385" i="1"/>
  <c r="W384" i="1"/>
  <c r="V384" i="1"/>
  <c r="X384" i="1" s="1"/>
  <c r="T384" i="1"/>
  <c r="P384" i="1"/>
  <c r="N384" i="1"/>
  <c r="W383" i="1"/>
  <c r="V383" i="1"/>
  <c r="T383" i="1"/>
  <c r="P383" i="1"/>
  <c r="N383" i="1"/>
  <c r="W382" i="1"/>
  <c r="V382" i="1"/>
  <c r="X382" i="1" s="1"/>
  <c r="T382" i="1"/>
  <c r="P382" i="1"/>
  <c r="N382" i="1"/>
  <c r="W381" i="1"/>
  <c r="V381" i="1"/>
  <c r="T381" i="1"/>
  <c r="P381" i="1"/>
  <c r="N381" i="1"/>
  <c r="W380" i="1"/>
  <c r="V380" i="1"/>
  <c r="T380" i="1"/>
  <c r="P380" i="1"/>
  <c r="Q380" i="1" s="1"/>
  <c r="Q381" i="1" s="1"/>
  <c r="N380" i="1"/>
  <c r="W379" i="1"/>
  <c r="V379" i="1"/>
  <c r="P379" i="1"/>
  <c r="N379" i="1"/>
  <c r="W378" i="1"/>
  <c r="V378" i="1"/>
  <c r="X378" i="1" s="1"/>
  <c r="T378" i="1"/>
  <c r="P378" i="1"/>
  <c r="N378" i="1"/>
  <c r="W377" i="1"/>
  <c r="V377" i="1"/>
  <c r="T377" i="1"/>
  <c r="P377" i="1"/>
  <c r="N377" i="1"/>
  <c r="W376" i="1"/>
  <c r="V376" i="1"/>
  <c r="T376" i="1"/>
  <c r="P376" i="1"/>
  <c r="N376" i="1"/>
  <c r="W375" i="1"/>
  <c r="V375" i="1"/>
  <c r="T375" i="1"/>
  <c r="P375" i="1"/>
  <c r="Q375" i="1" s="1"/>
  <c r="N375" i="1"/>
  <c r="W374" i="1"/>
  <c r="X374" i="1" s="1"/>
  <c r="V374" i="1"/>
  <c r="P374" i="1"/>
  <c r="N374" i="1"/>
  <c r="W373" i="1"/>
  <c r="V373" i="1"/>
  <c r="T373" i="1"/>
  <c r="P373" i="1"/>
  <c r="N373" i="1"/>
  <c r="W372" i="1"/>
  <c r="V372" i="1"/>
  <c r="T372" i="1"/>
  <c r="P372" i="1"/>
  <c r="N372" i="1"/>
  <c r="W371" i="1"/>
  <c r="V371" i="1"/>
  <c r="T371" i="1"/>
  <c r="P371" i="1"/>
  <c r="Q371" i="1" s="1"/>
  <c r="N371" i="1"/>
  <c r="W370" i="1"/>
  <c r="V370" i="1"/>
  <c r="P370" i="1"/>
  <c r="N370" i="1"/>
  <c r="W369" i="1"/>
  <c r="V369" i="1"/>
  <c r="T369" i="1"/>
  <c r="P369" i="1"/>
  <c r="N369" i="1"/>
  <c r="W368" i="1"/>
  <c r="V368" i="1"/>
  <c r="T368" i="1"/>
  <c r="P368" i="1"/>
  <c r="N368" i="1"/>
  <c r="W367" i="1"/>
  <c r="V367" i="1"/>
  <c r="T367" i="1"/>
  <c r="P367" i="1"/>
  <c r="N367" i="1"/>
  <c r="W366" i="1"/>
  <c r="X366" i="1" s="1"/>
  <c r="V366" i="1"/>
  <c r="T366" i="1"/>
  <c r="P366" i="1"/>
  <c r="N366" i="1"/>
  <c r="W365" i="1"/>
  <c r="V365" i="1"/>
  <c r="T365" i="1"/>
  <c r="P365" i="1"/>
  <c r="N365" i="1"/>
  <c r="W364" i="1"/>
  <c r="V364" i="1"/>
  <c r="T364" i="1"/>
  <c r="P364" i="1"/>
  <c r="N364" i="1"/>
  <c r="W363" i="1"/>
  <c r="V363" i="1"/>
  <c r="T363" i="1"/>
  <c r="P363" i="1"/>
  <c r="N363" i="1"/>
  <c r="W362" i="1"/>
  <c r="V362" i="1"/>
  <c r="X362" i="1" s="1"/>
  <c r="T362" i="1"/>
  <c r="P362" i="1"/>
  <c r="N362" i="1"/>
  <c r="W361" i="1"/>
  <c r="V361" i="1"/>
  <c r="T361" i="1"/>
  <c r="P361" i="1"/>
  <c r="Q361" i="1" s="1"/>
  <c r="N361" i="1"/>
  <c r="W360" i="1"/>
  <c r="V360" i="1"/>
  <c r="X360" i="1" s="1"/>
  <c r="P360" i="1"/>
  <c r="N360" i="1"/>
  <c r="W359" i="1"/>
  <c r="V359" i="1"/>
  <c r="T359" i="1"/>
  <c r="P359" i="1"/>
  <c r="N359" i="1"/>
  <c r="X358" i="1"/>
  <c r="W358" i="1"/>
  <c r="V358" i="1"/>
  <c r="T358" i="1"/>
  <c r="P358" i="1"/>
  <c r="N358" i="1"/>
  <c r="W357" i="1"/>
  <c r="V357" i="1"/>
  <c r="X357" i="1" s="1"/>
  <c r="T357" i="1"/>
  <c r="P357" i="1"/>
  <c r="N357" i="1"/>
  <c r="W356" i="1"/>
  <c r="V356" i="1"/>
  <c r="X356" i="1" s="1"/>
  <c r="T356" i="1"/>
  <c r="P356" i="1"/>
  <c r="Q356" i="1" s="1"/>
  <c r="Q357" i="1" s="1"/>
  <c r="Q358" i="1" s="1"/>
  <c r="Q359" i="1" s="1"/>
  <c r="Q360" i="1" s="1"/>
  <c r="T360" i="1" s="1"/>
  <c r="U360" i="1" s="1"/>
  <c r="N356" i="1"/>
  <c r="W355" i="1"/>
  <c r="X355" i="1" s="1"/>
  <c r="V355" i="1"/>
  <c r="P355" i="1"/>
  <c r="N355" i="1"/>
  <c r="W354" i="1"/>
  <c r="V354" i="1"/>
  <c r="X354" i="1" s="1"/>
  <c r="T354" i="1"/>
  <c r="P354" i="1"/>
  <c r="N354" i="1"/>
  <c r="W353" i="1"/>
  <c r="V353" i="1"/>
  <c r="T353" i="1"/>
  <c r="P353" i="1"/>
  <c r="N353" i="1"/>
  <c r="W352" i="1"/>
  <c r="V352" i="1"/>
  <c r="X352" i="1" s="1"/>
  <c r="T352" i="1"/>
  <c r="P352" i="1"/>
  <c r="N352" i="1"/>
  <c r="W351" i="1"/>
  <c r="V351" i="1"/>
  <c r="T351" i="1"/>
  <c r="P351" i="1"/>
  <c r="N351" i="1"/>
  <c r="W350" i="1"/>
  <c r="V350" i="1"/>
  <c r="T350" i="1"/>
  <c r="P350" i="1"/>
  <c r="Q350" i="1" s="1"/>
  <c r="N350" i="1"/>
  <c r="W349" i="1"/>
  <c r="V349" i="1"/>
  <c r="P349" i="1"/>
  <c r="N349" i="1"/>
  <c r="W348" i="1"/>
  <c r="V348" i="1"/>
  <c r="T348" i="1"/>
  <c r="P348" i="1"/>
  <c r="N348" i="1"/>
  <c r="W347" i="1"/>
  <c r="V347" i="1"/>
  <c r="T347" i="1"/>
  <c r="P347" i="1"/>
  <c r="N347" i="1"/>
  <c r="W346" i="1"/>
  <c r="V346" i="1"/>
  <c r="X346" i="1" s="1"/>
  <c r="T346" i="1"/>
  <c r="P346" i="1"/>
  <c r="N346" i="1"/>
  <c r="W345" i="1"/>
  <c r="V345" i="1"/>
  <c r="T345" i="1"/>
  <c r="P345" i="1"/>
  <c r="N345" i="1"/>
  <c r="W344" i="1"/>
  <c r="V344" i="1"/>
  <c r="X344" i="1" s="1"/>
  <c r="T344" i="1"/>
  <c r="P344" i="1"/>
  <c r="N344" i="1"/>
  <c r="W343" i="1"/>
  <c r="X343" i="1" s="1"/>
  <c r="V343" i="1"/>
  <c r="T343" i="1"/>
  <c r="P343" i="1"/>
  <c r="Q343" i="1" s="1"/>
  <c r="N343" i="1"/>
  <c r="W342" i="1"/>
  <c r="V342" i="1"/>
  <c r="P342" i="1"/>
  <c r="N342" i="1"/>
  <c r="W341" i="1"/>
  <c r="V341" i="1"/>
  <c r="T341" i="1"/>
  <c r="P341" i="1"/>
  <c r="N341" i="1"/>
  <c r="W340" i="1"/>
  <c r="V340" i="1"/>
  <c r="T340" i="1"/>
  <c r="P340" i="1"/>
  <c r="N340" i="1"/>
  <c r="W339" i="1"/>
  <c r="V339" i="1"/>
  <c r="T339" i="1"/>
  <c r="P339" i="1"/>
  <c r="N339" i="1"/>
  <c r="W338" i="1"/>
  <c r="X338" i="1" s="1"/>
  <c r="V338" i="1"/>
  <c r="T338" i="1"/>
  <c r="P338" i="1"/>
  <c r="Q338" i="1" s="1"/>
  <c r="N338" i="1"/>
  <c r="W337" i="1"/>
  <c r="V337" i="1"/>
  <c r="P337" i="1"/>
  <c r="N337" i="1"/>
  <c r="W336" i="1"/>
  <c r="V336" i="1"/>
  <c r="T336" i="1"/>
  <c r="P336" i="1"/>
  <c r="N336" i="1"/>
  <c r="W335" i="1"/>
  <c r="V335" i="1"/>
  <c r="T335" i="1"/>
  <c r="P335" i="1"/>
  <c r="N335" i="1"/>
  <c r="W334" i="1"/>
  <c r="V334" i="1"/>
  <c r="X334" i="1" s="1"/>
  <c r="T334" i="1"/>
  <c r="P334" i="1"/>
  <c r="N334" i="1"/>
  <c r="W333" i="1"/>
  <c r="V333" i="1"/>
  <c r="T333" i="1"/>
  <c r="P333" i="1"/>
  <c r="N333" i="1"/>
  <c r="W332" i="1"/>
  <c r="V332" i="1"/>
  <c r="T332" i="1"/>
  <c r="P332" i="1"/>
  <c r="N332" i="1"/>
  <c r="W331" i="1"/>
  <c r="V331" i="1"/>
  <c r="T331" i="1"/>
  <c r="P331" i="1"/>
  <c r="Q331" i="1" s="1"/>
  <c r="N331" i="1"/>
  <c r="W330" i="1"/>
  <c r="V330" i="1"/>
  <c r="P330" i="1"/>
  <c r="N330" i="1"/>
  <c r="W329" i="1"/>
  <c r="V329" i="1"/>
  <c r="X329" i="1" s="1"/>
  <c r="T329" i="1"/>
  <c r="P329" i="1"/>
  <c r="N329" i="1"/>
  <c r="W328" i="1"/>
  <c r="V328" i="1"/>
  <c r="T328" i="1"/>
  <c r="P328" i="1"/>
  <c r="N328" i="1"/>
  <c r="W327" i="1"/>
  <c r="X327" i="1" s="1"/>
  <c r="V327" i="1"/>
  <c r="T327" i="1"/>
  <c r="P327" i="1"/>
  <c r="N327" i="1"/>
  <c r="W326" i="1"/>
  <c r="V326" i="1"/>
  <c r="T326" i="1"/>
  <c r="P326" i="1"/>
  <c r="N326" i="1"/>
  <c r="W325" i="1"/>
  <c r="V325" i="1"/>
  <c r="T325" i="1"/>
  <c r="P325" i="1"/>
  <c r="N325" i="1"/>
  <c r="W324" i="1"/>
  <c r="V324" i="1"/>
  <c r="T324" i="1"/>
  <c r="P324" i="1"/>
  <c r="Q324" i="1" s="1"/>
  <c r="N324" i="1"/>
  <c r="W323" i="1"/>
  <c r="X323" i="1" s="1"/>
  <c r="V323" i="1"/>
  <c r="P323" i="1"/>
  <c r="N323" i="1"/>
  <c r="X322" i="1"/>
  <c r="W322" i="1"/>
  <c r="V322" i="1"/>
  <c r="T322" i="1"/>
  <c r="P322" i="1"/>
  <c r="N322" i="1"/>
  <c r="W321" i="1"/>
  <c r="V321" i="1"/>
  <c r="T321" i="1"/>
  <c r="P321" i="1"/>
  <c r="N321" i="1"/>
  <c r="W320" i="1"/>
  <c r="V320" i="1"/>
  <c r="X320" i="1" s="1"/>
  <c r="T320" i="1"/>
  <c r="P320" i="1"/>
  <c r="N320" i="1"/>
  <c r="W319" i="1"/>
  <c r="X319" i="1" s="1"/>
  <c r="V319" i="1"/>
  <c r="T319" i="1"/>
  <c r="P319" i="1"/>
  <c r="N319" i="1"/>
  <c r="W318" i="1"/>
  <c r="V318" i="1"/>
  <c r="T318" i="1"/>
  <c r="P318" i="1"/>
  <c r="Q318" i="1" s="1"/>
  <c r="Q319" i="1" s="1"/>
  <c r="Q320" i="1" s="1"/>
  <c r="Q321" i="1" s="1"/>
  <c r="Q322" i="1" s="1"/>
  <c r="Q323" i="1" s="1"/>
  <c r="T323" i="1" s="1"/>
  <c r="U323" i="1" s="1"/>
  <c r="N318" i="1"/>
  <c r="W317" i="1"/>
  <c r="V317" i="1"/>
  <c r="P317" i="1"/>
  <c r="N317" i="1"/>
  <c r="W316" i="1"/>
  <c r="V316" i="1"/>
  <c r="T316" i="1"/>
  <c r="P316" i="1"/>
  <c r="N316" i="1"/>
  <c r="W315" i="1"/>
  <c r="V315" i="1"/>
  <c r="T315" i="1"/>
  <c r="P315" i="1"/>
  <c r="N315" i="1"/>
  <c r="W314" i="1"/>
  <c r="V314" i="1"/>
  <c r="T314" i="1"/>
  <c r="P314" i="1"/>
  <c r="Q314" i="1" s="1"/>
  <c r="N314" i="1"/>
  <c r="W313" i="1"/>
  <c r="V313" i="1"/>
  <c r="X313" i="1" s="1"/>
  <c r="P313" i="1"/>
  <c r="N313" i="1"/>
  <c r="W312" i="1"/>
  <c r="V312" i="1"/>
  <c r="T312" i="1"/>
  <c r="P312" i="1"/>
  <c r="N312" i="1"/>
  <c r="W311" i="1"/>
  <c r="V311" i="1"/>
  <c r="T311" i="1"/>
  <c r="P311" i="1"/>
  <c r="N311" i="1"/>
  <c r="W310" i="1"/>
  <c r="V310" i="1"/>
  <c r="X310" i="1" s="1"/>
  <c r="T310" i="1"/>
  <c r="P310" i="1"/>
  <c r="N310" i="1"/>
  <c r="W309" i="1"/>
  <c r="V309" i="1"/>
  <c r="T309" i="1"/>
  <c r="P309" i="1"/>
  <c r="N309" i="1"/>
  <c r="W308" i="1"/>
  <c r="V308" i="1"/>
  <c r="T308" i="1"/>
  <c r="P308" i="1"/>
  <c r="N308" i="1"/>
  <c r="W307" i="1"/>
  <c r="V307" i="1"/>
  <c r="T307" i="1"/>
  <c r="P307" i="1"/>
  <c r="N307" i="1"/>
  <c r="W306" i="1"/>
  <c r="X306" i="1" s="1"/>
  <c r="V306" i="1"/>
  <c r="T306" i="1"/>
  <c r="P306" i="1"/>
  <c r="N306" i="1"/>
  <c r="W305" i="1"/>
  <c r="V305" i="1"/>
  <c r="T305" i="1"/>
  <c r="P305" i="1"/>
  <c r="Q305" i="1" s="1"/>
  <c r="Q306" i="1" s="1"/>
  <c r="Q307" i="1" s="1"/>
  <c r="Q308" i="1" s="1"/>
  <c r="Q309" i="1" s="1"/>
  <c r="Q310" i="1" s="1"/>
  <c r="Q311" i="1" s="1"/>
  <c r="Q312" i="1" s="1"/>
  <c r="Q313" i="1" s="1"/>
  <c r="T313" i="1" s="1"/>
  <c r="U313" i="1" s="1"/>
  <c r="N305" i="1"/>
  <c r="W304" i="1"/>
  <c r="V304" i="1"/>
  <c r="P304" i="1"/>
  <c r="N304" i="1"/>
  <c r="W303" i="1"/>
  <c r="V303" i="1"/>
  <c r="T303" i="1"/>
  <c r="P303" i="1"/>
  <c r="N303" i="1"/>
  <c r="W302" i="1"/>
  <c r="V302" i="1"/>
  <c r="T302" i="1"/>
  <c r="P302" i="1"/>
  <c r="N302" i="1"/>
  <c r="W301" i="1"/>
  <c r="V301" i="1"/>
  <c r="T301" i="1"/>
  <c r="P301" i="1"/>
  <c r="Q301" i="1" s="1"/>
  <c r="N301" i="1"/>
  <c r="W300" i="1"/>
  <c r="V300" i="1"/>
  <c r="P300" i="1"/>
  <c r="N300" i="1"/>
  <c r="W299" i="1"/>
  <c r="V299" i="1"/>
  <c r="T299" i="1"/>
  <c r="P299" i="1"/>
  <c r="N299" i="1"/>
  <c r="W298" i="1"/>
  <c r="V298" i="1"/>
  <c r="T298" i="1"/>
  <c r="P298" i="1"/>
  <c r="N298" i="1"/>
  <c r="W297" i="1"/>
  <c r="V297" i="1"/>
  <c r="T297" i="1"/>
  <c r="P297" i="1"/>
  <c r="Q297" i="1" s="1"/>
  <c r="Q298" i="1" s="1"/>
  <c r="Q299" i="1" s="1"/>
  <c r="N297" i="1"/>
  <c r="W296" i="1"/>
  <c r="V296" i="1"/>
  <c r="T296" i="1"/>
  <c r="P296" i="1"/>
  <c r="N296" i="1"/>
  <c r="W295" i="1"/>
  <c r="V295" i="1"/>
  <c r="T295" i="1"/>
  <c r="P295" i="1"/>
  <c r="N295" i="1"/>
  <c r="X294" i="1"/>
  <c r="W294" i="1"/>
  <c r="V294" i="1"/>
  <c r="T294" i="1"/>
  <c r="P294" i="1"/>
  <c r="N294" i="1"/>
  <c r="W293" i="1"/>
  <c r="V293" i="1"/>
  <c r="T293" i="1"/>
  <c r="P293" i="1"/>
  <c r="N293" i="1"/>
  <c r="W292" i="1"/>
  <c r="V292" i="1"/>
  <c r="T292" i="1"/>
  <c r="P292" i="1"/>
  <c r="Q292" i="1" s="1"/>
  <c r="Q293" i="1" s="1"/>
  <c r="N292" i="1"/>
  <c r="W291" i="1"/>
  <c r="X291" i="1" s="1"/>
  <c r="V291" i="1"/>
  <c r="P291" i="1"/>
  <c r="N291" i="1"/>
  <c r="W290" i="1"/>
  <c r="V290" i="1"/>
  <c r="X290" i="1" s="1"/>
  <c r="T290" i="1"/>
  <c r="P290" i="1"/>
  <c r="N290" i="1"/>
  <c r="W289" i="1"/>
  <c r="V289" i="1"/>
  <c r="T289" i="1"/>
  <c r="P289" i="1"/>
  <c r="N289" i="1"/>
  <c r="W288" i="1"/>
  <c r="V288" i="1"/>
  <c r="X288" i="1" s="1"/>
  <c r="T288" i="1"/>
  <c r="P288" i="1"/>
  <c r="N288" i="1"/>
  <c r="W287" i="1"/>
  <c r="V287" i="1"/>
  <c r="T287" i="1"/>
  <c r="P287" i="1"/>
  <c r="Q287" i="1" s="1"/>
  <c r="N287" i="1"/>
  <c r="W286" i="1"/>
  <c r="V286" i="1"/>
  <c r="X286" i="1" s="1"/>
  <c r="P286" i="1"/>
  <c r="N286" i="1"/>
  <c r="W285" i="1"/>
  <c r="V285" i="1"/>
  <c r="X285" i="1" s="1"/>
  <c r="T285" i="1"/>
  <c r="P285" i="1"/>
  <c r="N285" i="1"/>
  <c r="W284" i="1"/>
  <c r="V284" i="1"/>
  <c r="T284" i="1"/>
  <c r="P284" i="1"/>
  <c r="N284" i="1"/>
  <c r="W283" i="1"/>
  <c r="V283" i="1"/>
  <c r="T283" i="1"/>
  <c r="P283" i="1"/>
  <c r="N283" i="1"/>
  <c r="W282" i="1"/>
  <c r="V282" i="1"/>
  <c r="T282" i="1"/>
  <c r="P282" i="1"/>
  <c r="N282" i="1"/>
  <c r="W281" i="1"/>
  <c r="V281" i="1"/>
  <c r="X281" i="1" s="1"/>
  <c r="T281" i="1"/>
  <c r="P281" i="1"/>
  <c r="N281" i="1"/>
  <c r="W280" i="1"/>
  <c r="V280" i="1"/>
  <c r="T280" i="1"/>
  <c r="P280" i="1"/>
  <c r="N280" i="1"/>
  <c r="W279" i="1"/>
  <c r="V279" i="1"/>
  <c r="T279" i="1"/>
  <c r="P279" i="1"/>
  <c r="Q279" i="1" s="1"/>
  <c r="Q280" i="1" s="1"/>
  <c r="N279" i="1"/>
  <c r="X278" i="1"/>
  <c r="W278" i="1"/>
  <c r="V278" i="1"/>
  <c r="P278" i="1"/>
  <c r="N278" i="1"/>
  <c r="W277" i="1"/>
  <c r="V277" i="1"/>
  <c r="X277" i="1" s="1"/>
  <c r="T277" i="1"/>
  <c r="P277" i="1"/>
  <c r="N277" i="1"/>
  <c r="W276" i="1"/>
  <c r="V276" i="1"/>
  <c r="T276" i="1"/>
  <c r="P276" i="1"/>
  <c r="N276" i="1"/>
  <c r="W275" i="1"/>
  <c r="V275" i="1"/>
  <c r="T275" i="1"/>
  <c r="P275" i="1"/>
  <c r="N275" i="1"/>
  <c r="W274" i="1"/>
  <c r="V274" i="1"/>
  <c r="X274" i="1" s="1"/>
  <c r="T274" i="1"/>
  <c r="P274" i="1"/>
  <c r="N274" i="1"/>
  <c r="W273" i="1"/>
  <c r="V273" i="1"/>
  <c r="T273" i="1"/>
  <c r="P273" i="1"/>
  <c r="Q273" i="1" s="1"/>
  <c r="N273" i="1"/>
  <c r="W272" i="1"/>
  <c r="V272" i="1"/>
  <c r="X272" i="1" s="1"/>
  <c r="P272" i="1"/>
  <c r="N272" i="1"/>
  <c r="W271" i="1"/>
  <c r="V271" i="1"/>
  <c r="T271" i="1"/>
  <c r="P271" i="1"/>
  <c r="N271" i="1"/>
  <c r="X270" i="1"/>
  <c r="W270" i="1"/>
  <c r="V270" i="1"/>
  <c r="T270" i="1"/>
  <c r="P270" i="1"/>
  <c r="N270" i="1"/>
  <c r="W269" i="1"/>
  <c r="V269" i="1"/>
  <c r="T269" i="1"/>
  <c r="P269" i="1"/>
  <c r="N269" i="1"/>
  <c r="W268" i="1"/>
  <c r="V268" i="1"/>
  <c r="T268" i="1"/>
  <c r="P268" i="1"/>
  <c r="N268" i="1"/>
  <c r="W267" i="1"/>
  <c r="X267" i="1" s="1"/>
  <c r="V267" i="1"/>
  <c r="T267" i="1"/>
  <c r="P267" i="1"/>
  <c r="Q267" i="1" s="1"/>
  <c r="N267" i="1"/>
  <c r="W266" i="1"/>
  <c r="V266" i="1"/>
  <c r="X266" i="1" s="1"/>
  <c r="P266" i="1"/>
  <c r="N266" i="1"/>
  <c r="W265" i="1"/>
  <c r="V265" i="1"/>
  <c r="T265" i="1"/>
  <c r="P265" i="1"/>
  <c r="N265" i="1"/>
  <c r="W264" i="1"/>
  <c r="V264" i="1"/>
  <c r="T264" i="1"/>
  <c r="P264" i="1"/>
  <c r="N264" i="1"/>
  <c r="W263" i="1"/>
  <c r="X263" i="1" s="1"/>
  <c r="V263" i="1"/>
  <c r="T263" i="1"/>
  <c r="P263" i="1"/>
  <c r="N263" i="1"/>
  <c r="W262" i="1"/>
  <c r="V262" i="1"/>
  <c r="T262" i="1"/>
  <c r="P262" i="1"/>
  <c r="N262" i="1"/>
  <c r="W261" i="1"/>
  <c r="V261" i="1"/>
  <c r="T261" i="1"/>
  <c r="P261" i="1"/>
  <c r="Q261" i="1" s="1"/>
  <c r="N261" i="1"/>
  <c r="W260" i="1"/>
  <c r="V260" i="1"/>
  <c r="X260" i="1" s="1"/>
  <c r="P260" i="1"/>
  <c r="N260" i="1"/>
  <c r="W259" i="1"/>
  <c r="V259" i="1"/>
  <c r="T259" i="1"/>
  <c r="P259" i="1"/>
  <c r="N259" i="1"/>
  <c r="W258" i="1"/>
  <c r="V258" i="1"/>
  <c r="T258" i="1"/>
  <c r="P258" i="1"/>
  <c r="N258" i="1"/>
  <c r="W257" i="1"/>
  <c r="V257" i="1"/>
  <c r="T257" i="1"/>
  <c r="P257" i="1"/>
  <c r="Q257" i="1" s="1"/>
  <c r="N257" i="1"/>
  <c r="W256" i="1"/>
  <c r="V256" i="1"/>
  <c r="X256" i="1" s="1"/>
  <c r="P256" i="1"/>
  <c r="N256" i="1"/>
  <c r="W255" i="1"/>
  <c r="V255" i="1"/>
  <c r="T255" i="1"/>
  <c r="P255" i="1"/>
  <c r="N255" i="1"/>
  <c r="W254" i="1"/>
  <c r="V254" i="1"/>
  <c r="T254" i="1"/>
  <c r="P254" i="1"/>
  <c r="N254" i="1"/>
  <c r="W253" i="1"/>
  <c r="V253" i="1"/>
  <c r="T253" i="1"/>
  <c r="P253" i="1"/>
  <c r="N253" i="1"/>
  <c r="W252" i="1"/>
  <c r="V252" i="1"/>
  <c r="T252" i="1"/>
  <c r="P252" i="1"/>
  <c r="N252" i="1"/>
  <c r="W251" i="1"/>
  <c r="V251" i="1"/>
  <c r="T251" i="1"/>
  <c r="P251" i="1"/>
  <c r="Q251" i="1" s="1"/>
  <c r="N251" i="1"/>
  <c r="W250" i="1"/>
  <c r="V250" i="1"/>
  <c r="X250" i="1" s="1"/>
  <c r="P250" i="1"/>
  <c r="N250" i="1"/>
  <c r="W249" i="1"/>
  <c r="V249" i="1"/>
  <c r="T249" i="1"/>
  <c r="P249" i="1"/>
  <c r="N249" i="1"/>
  <c r="W248" i="1"/>
  <c r="V248" i="1"/>
  <c r="T248" i="1"/>
  <c r="P248" i="1"/>
  <c r="N248" i="1"/>
  <c r="W247" i="1"/>
  <c r="V247" i="1"/>
  <c r="T247" i="1"/>
  <c r="P247" i="1"/>
  <c r="N247" i="1"/>
  <c r="W246" i="1"/>
  <c r="V246" i="1"/>
  <c r="T246" i="1"/>
  <c r="P246" i="1"/>
  <c r="N246" i="1"/>
  <c r="W245" i="1"/>
  <c r="V245" i="1"/>
  <c r="T245" i="1"/>
  <c r="P245" i="1"/>
  <c r="Q245" i="1" s="1"/>
  <c r="Q246" i="1" s="1"/>
  <c r="N245" i="1"/>
  <c r="W244" i="1"/>
  <c r="V244" i="1"/>
  <c r="P244" i="1"/>
  <c r="N244" i="1"/>
  <c r="W243" i="1"/>
  <c r="V243" i="1"/>
  <c r="X243" i="1" s="1"/>
  <c r="T243" i="1"/>
  <c r="P243" i="1"/>
  <c r="N243" i="1"/>
  <c r="W242" i="1"/>
  <c r="V242" i="1"/>
  <c r="T242" i="1"/>
  <c r="P242" i="1"/>
  <c r="N242" i="1"/>
  <c r="W241" i="1"/>
  <c r="V241" i="1"/>
  <c r="T241" i="1"/>
  <c r="P241" i="1"/>
  <c r="N241" i="1"/>
  <c r="W240" i="1"/>
  <c r="V240" i="1"/>
  <c r="X240" i="1" s="1"/>
  <c r="T240" i="1"/>
  <c r="P240" i="1"/>
  <c r="N240" i="1"/>
  <c r="W239" i="1"/>
  <c r="V239" i="1"/>
  <c r="T239" i="1"/>
  <c r="P239" i="1"/>
  <c r="Q239" i="1" s="1"/>
  <c r="N239" i="1"/>
  <c r="W238" i="1"/>
  <c r="V238" i="1"/>
  <c r="P238" i="1"/>
  <c r="N238" i="1"/>
  <c r="W237" i="1"/>
  <c r="V237" i="1"/>
  <c r="T237" i="1"/>
  <c r="P237" i="1"/>
  <c r="N237" i="1"/>
  <c r="W236" i="1"/>
  <c r="V236" i="1"/>
  <c r="T236" i="1"/>
  <c r="P236" i="1"/>
  <c r="N236" i="1"/>
  <c r="W235" i="1"/>
  <c r="V235" i="1"/>
  <c r="X235" i="1" s="1"/>
  <c r="T235" i="1"/>
  <c r="P235" i="1"/>
  <c r="N235" i="1"/>
  <c r="W234" i="1"/>
  <c r="V234" i="1"/>
  <c r="X234" i="1" s="1"/>
  <c r="T234" i="1"/>
  <c r="P234" i="1"/>
  <c r="N234" i="1"/>
  <c r="W233" i="1"/>
  <c r="X233" i="1" s="1"/>
  <c r="V233" i="1"/>
  <c r="T233" i="1"/>
  <c r="P233" i="1"/>
  <c r="Q233" i="1" s="1"/>
  <c r="N233" i="1"/>
  <c r="W232" i="1"/>
  <c r="V232" i="1"/>
  <c r="X232" i="1" s="1"/>
  <c r="P232" i="1"/>
  <c r="N232" i="1"/>
  <c r="W231" i="1"/>
  <c r="V231" i="1"/>
  <c r="X231" i="1" s="1"/>
  <c r="T231" i="1"/>
  <c r="P231" i="1"/>
  <c r="N231" i="1"/>
  <c r="W230" i="1"/>
  <c r="V230" i="1"/>
  <c r="X230" i="1" s="1"/>
  <c r="T230" i="1"/>
  <c r="P230" i="1"/>
  <c r="N230" i="1"/>
  <c r="W229" i="1"/>
  <c r="V229" i="1"/>
  <c r="T229" i="1"/>
  <c r="P229" i="1"/>
  <c r="N229" i="1"/>
  <c r="W228" i="1"/>
  <c r="V228" i="1"/>
  <c r="T228" i="1"/>
  <c r="P228" i="1"/>
  <c r="N228" i="1"/>
  <c r="W227" i="1"/>
  <c r="V227" i="1"/>
  <c r="X227" i="1" s="1"/>
  <c r="T227" i="1"/>
  <c r="P227" i="1"/>
  <c r="N227" i="1"/>
  <c r="W226" i="1"/>
  <c r="X226" i="1" s="1"/>
  <c r="V226" i="1"/>
  <c r="T226" i="1"/>
  <c r="P226" i="1"/>
  <c r="Q226" i="1" s="1"/>
  <c r="N226" i="1"/>
  <c r="W225" i="1"/>
  <c r="V225" i="1"/>
  <c r="P225" i="1"/>
  <c r="N225" i="1"/>
  <c r="W224" i="1"/>
  <c r="V224" i="1"/>
  <c r="X224" i="1" s="1"/>
  <c r="T224" i="1"/>
  <c r="P224" i="1"/>
  <c r="N224" i="1"/>
  <c r="W223" i="1"/>
  <c r="V223" i="1"/>
  <c r="T223" i="1"/>
  <c r="P223" i="1"/>
  <c r="Q223" i="1" s="1"/>
  <c r="N223" i="1"/>
  <c r="W222" i="1"/>
  <c r="V222" i="1"/>
  <c r="X222" i="1" s="1"/>
  <c r="P222" i="1"/>
  <c r="N222" i="1"/>
  <c r="W221" i="1"/>
  <c r="V221" i="1"/>
  <c r="T221" i="1"/>
  <c r="P221" i="1"/>
  <c r="N221" i="1"/>
  <c r="W220" i="1"/>
  <c r="V220" i="1"/>
  <c r="X220" i="1" s="1"/>
  <c r="T220" i="1"/>
  <c r="P220" i="1"/>
  <c r="N220" i="1"/>
  <c r="W219" i="1"/>
  <c r="V219" i="1"/>
  <c r="T219" i="1"/>
  <c r="P219" i="1"/>
  <c r="N219" i="1"/>
  <c r="W218" i="1"/>
  <c r="V218" i="1"/>
  <c r="T218" i="1"/>
  <c r="P218" i="1"/>
  <c r="Q218" i="1" s="1"/>
  <c r="N218" i="1"/>
  <c r="W217" i="1"/>
  <c r="V217" i="1"/>
  <c r="P217" i="1"/>
  <c r="N217" i="1"/>
  <c r="W216" i="1"/>
  <c r="V216" i="1"/>
  <c r="T216" i="1"/>
  <c r="P216" i="1"/>
  <c r="N216" i="1"/>
  <c r="W215" i="1"/>
  <c r="V215" i="1"/>
  <c r="X215" i="1" s="1"/>
  <c r="T215" i="1"/>
  <c r="P215" i="1"/>
  <c r="N215" i="1"/>
  <c r="W214" i="1"/>
  <c r="V214" i="1"/>
  <c r="X214" i="1" s="1"/>
  <c r="T214" i="1"/>
  <c r="P214" i="1"/>
  <c r="N214" i="1"/>
  <c r="W213" i="1"/>
  <c r="X213" i="1" s="1"/>
  <c r="V213" i="1"/>
  <c r="T213" i="1"/>
  <c r="P213" i="1"/>
  <c r="Q213" i="1" s="1"/>
  <c r="N213" i="1"/>
  <c r="W212" i="1"/>
  <c r="V212" i="1"/>
  <c r="P212" i="1"/>
  <c r="N212" i="1"/>
  <c r="W211" i="1"/>
  <c r="V211" i="1"/>
  <c r="X211" i="1" s="1"/>
  <c r="T211" i="1"/>
  <c r="P211" i="1"/>
  <c r="N211" i="1"/>
  <c r="W210" i="1"/>
  <c r="V210" i="1"/>
  <c r="X210" i="1" s="1"/>
  <c r="T210" i="1"/>
  <c r="P210" i="1"/>
  <c r="N210" i="1"/>
  <c r="W209" i="1"/>
  <c r="V209" i="1"/>
  <c r="T209" i="1"/>
  <c r="P209" i="1"/>
  <c r="Q209" i="1" s="1"/>
  <c r="Q210" i="1" s="1"/>
  <c r="N209" i="1"/>
  <c r="W208" i="1"/>
  <c r="V208" i="1"/>
  <c r="P208" i="1"/>
  <c r="N208" i="1"/>
  <c r="W207" i="1"/>
  <c r="V207" i="1"/>
  <c r="T207" i="1"/>
  <c r="P207" i="1"/>
  <c r="N207" i="1"/>
  <c r="W206" i="1"/>
  <c r="V206" i="1"/>
  <c r="X206" i="1" s="1"/>
  <c r="T206" i="1"/>
  <c r="P206" i="1"/>
  <c r="N206" i="1"/>
  <c r="W205" i="1"/>
  <c r="V205" i="1"/>
  <c r="T205" i="1"/>
  <c r="P205" i="1"/>
  <c r="Q205" i="1" s="1"/>
  <c r="N205" i="1"/>
  <c r="W204" i="1"/>
  <c r="V204" i="1"/>
  <c r="X204" i="1" s="1"/>
  <c r="P204" i="1"/>
  <c r="N204" i="1"/>
  <c r="W203" i="1"/>
  <c r="V203" i="1"/>
  <c r="X203" i="1" s="1"/>
  <c r="T203" i="1"/>
  <c r="P203" i="1"/>
  <c r="W202" i="1"/>
  <c r="V202" i="1"/>
  <c r="T202" i="1"/>
  <c r="P202" i="1"/>
  <c r="N202" i="1"/>
  <c r="W201" i="1"/>
  <c r="V201" i="1"/>
  <c r="T201" i="1"/>
  <c r="P201" i="1"/>
  <c r="Q201" i="1" s="1"/>
  <c r="N201" i="1"/>
  <c r="W200" i="1"/>
  <c r="V200" i="1"/>
  <c r="P200" i="1"/>
  <c r="N200" i="1"/>
  <c r="W199" i="1"/>
  <c r="V199" i="1"/>
  <c r="T199" i="1"/>
  <c r="P199" i="1"/>
  <c r="N199" i="1"/>
  <c r="W198" i="1"/>
  <c r="V198" i="1"/>
  <c r="T198" i="1"/>
  <c r="P198" i="1"/>
  <c r="Q198" i="1" s="1"/>
  <c r="N198" i="1"/>
  <c r="W197" i="1"/>
  <c r="V197" i="1"/>
  <c r="X197" i="1" s="1"/>
  <c r="P197" i="1"/>
  <c r="N197" i="1"/>
  <c r="W196" i="1"/>
  <c r="V196" i="1"/>
  <c r="X196" i="1" s="1"/>
  <c r="T196" i="1"/>
  <c r="P196" i="1"/>
  <c r="N196" i="1"/>
  <c r="W195" i="1"/>
  <c r="X195" i="1" s="1"/>
  <c r="V195" i="1"/>
  <c r="T195" i="1"/>
  <c r="P195" i="1"/>
  <c r="N195" i="1"/>
  <c r="W194" i="1"/>
  <c r="V194" i="1"/>
  <c r="T194" i="1"/>
  <c r="P194" i="1"/>
  <c r="N194" i="1"/>
  <c r="W193" i="1"/>
  <c r="V193" i="1"/>
  <c r="X193" i="1" s="1"/>
  <c r="T193" i="1"/>
  <c r="P193" i="1"/>
  <c r="Q193" i="1" s="1"/>
  <c r="N193" i="1"/>
  <c r="W192" i="1"/>
  <c r="V192" i="1"/>
  <c r="X192" i="1" s="1"/>
  <c r="P192" i="1"/>
  <c r="N192" i="1"/>
  <c r="W191" i="1"/>
  <c r="V191" i="1"/>
  <c r="T191" i="1"/>
  <c r="P191" i="1"/>
  <c r="N191" i="1"/>
  <c r="W190" i="1"/>
  <c r="V190" i="1"/>
  <c r="T190" i="1"/>
  <c r="P190" i="1"/>
  <c r="N190" i="1"/>
  <c r="W189" i="1"/>
  <c r="V189" i="1"/>
  <c r="X189" i="1" s="1"/>
  <c r="T189" i="1"/>
  <c r="P189" i="1"/>
  <c r="N189" i="1"/>
  <c r="W188" i="1"/>
  <c r="V188" i="1"/>
  <c r="X188" i="1" s="1"/>
  <c r="T188" i="1"/>
  <c r="P188" i="1"/>
  <c r="N188" i="1"/>
  <c r="W187" i="1"/>
  <c r="V187" i="1"/>
  <c r="X187" i="1" s="1"/>
  <c r="T187" i="1"/>
  <c r="P187" i="1"/>
  <c r="Q187" i="1" s="1"/>
  <c r="Q188" i="1" s="1"/>
  <c r="Q189" i="1" s="1"/>
  <c r="Q190" i="1" s="1"/>
  <c r="Q191" i="1" s="1"/>
  <c r="Q192" i="1" s="1"/>
  <c r="T192" i="1" s="1"/>
  <c r="U192" i="1" s="1"/>
  <c r="N187" i="1"/>
  <c r="W186" i="1"/>
  <c r="V186" i="1"/>
  <c r="P186" i="1"/>
  <c r="N186" i="1"/>
  <c r="W185" i="1"/>
  <c r="V185" i="1"/>
  <c r="X185" i="1" s="1"/>
  <c r="T185" i="1"/>
  <c r="P185" i="1"/>
  <c r="N185" i="1"/>
  <c r="W184" i="1"/>
  <c r="V184" i="1"/>
  <c r="T184" i="1"/>
  <c r="P184" i="1"/>
  <c r="N184" i="1"/>
  <c r="W183" i="1"/>
  <c r="V183" i="1"/>
  <c r="T183" i="1"/>
  <c r="P183" i="1"/>
  <c r="N183" i="1"/>
  <c r="W182" i="1"/>
  <c r="V182" i="1"/>
  <c r="T182" i="1"/>
  <c r="P182" i="1"/>
  <c r="N182" i="1"/>
  <c r="W181" i="1"/>
  <c r="V181" i="1"/>
  <c r="T181" i="1"/>
  <c r="P181" i="1"/>
  <c r="Q181" i="1" s="1"/>
  <c r="N181" i="1"/>
  <c r="W180" i="1"/>
  <c r="V180" i="1"/>
  <c r="X180" i="1" s="1"/>
  <c r="P180" i="1"/>
  <c r="N180" i="1"/>
  <c r="W179" i="1"/>
  <c r="V179" i="1"/>
  <c r="X179" i="1" s="1"/>
  <c r="T179" i="1"/>
  <c r="P179" i="1"/>
  <c r="N179" i="1"/>
  <c r="W178" i="1"/>
  <c r="V178" i="1"/>
  <c r="T178" i="1"/>
  <c r="P178" i="1"/>
  <c r="N178" i="1"/>
  <c r="W177" i="1"/>
  <c r="V177" i="1"/>
  <c r="T177" i="1"/>
  <c r="P177" i="1"/>
  <c r="N177" i="1"/>
  <c r="W176" i="1"/>
  <c r="V176" i="1"/>
  <c r="T176" i="1"/>
  <c r="P176" i="1"/>
  <c r="N176" i="1"/>
  <c r="W175" i="1"/>
  <c r="V175" i="1"/>
  <c r="X175" i="1" s="1"/>
  <c r="T175" i="1"/>
  <c r="P175" i="1"/>
  <c r="Q175" i="1" s="1"/>
  <c r="Q176" i="1" s="1"/>
  <c r="N175" i="1"/>
  <c r="W174" i="1"/>
  <c r="V174" i="1"/>
  <c r="P174" i="1"/>
  <c r="N174" i="1"/>
  <c r="W173" i="1"/>
  <c r="V173" i="1"/>
  <c r="T173" i="1"/>
  <c r="P173" i="1"/>
  <c r="N173" i="1"/>
  <c r="W172" i="1"/>
  <c r="V172" i="1"/>
  <c r="T172" i="1"/>
  <c r="P172" i="1"/>
  <c r="N172" i="1"/>
  <c r="W171" i="1"/>
  <c r="X171" i="1" s="1"/>
  <c r="V171" i="1"/>
  <c r="T171" i="1"/>
  <c r="P171" i="1"/>
  <c r="N171" i="1"/>
  <c r="W170" i="1"/>
  <c r="V170" i="1"/>
  <c r="T170" i="1"/>
  <c r="P170" i="1"/>
  <c r="Q170" i="1" s="1"/>
  <c r="Q171" i="1" s="1"/>
  <c r="N170" i="1"/>
  <c r="W169" i="1"/>
  <c r="V169" i="1"/>
  <c r="P169" i="1"/>
  <c r="N169" i="1"/>
  <c r="W168" i="1"/>
  <c r="V168" i="1"/>
  <c r="T168" i="1"/>
  <c r="P168" i="1"/>
  <c r="N168" i="1"/>
  <c r="W167" i="1"/>
  <c r="V167" i="1"/>
  <c r="T167" i="1"/>
  <c r="P167" i="1"/>
  <c r="N167" i="1"/>
  <c r="W166" i="1"/>
  <c r="V166" i="1"/>
  <c r="T166" i="1"/>
  <c r="P166" i="1"/>
  <c r="N166" i="1"/>
  <c r="W165" i="1"/>
  <c r="V165" i="1"/>
  <c r="X165" i="1" s="1"/>
  <c r="T165" i="1"/>
  <c r="P165" i="1"/>
  <c r="N165" i="1"/>
  <c r="W164" i="1"/>
  <c r="V164" i="1"/>
  <c r="T164" i="1"/>
  <c r="P164" i="1"/>
  <c r="N164" i="1"/>
  <c r="W163" i="1"/>
  <c r="X163" i="1" s="1"/>
  <c r="V163" i="1"/>
  <c r="T163" i="1"/>
  <c r="P163" i="1"/>
  <c r="N163" i="1"/>
  <c r="W162" i="1"/>
  <c r="V162" i="1"/>
  <c r="T162" i="1"/>
  <c r="P162" i="1"/>
  <c r="Q162" i="1" s="1"/>
  <c r="N162" i="1"/>
  <c r="W161" i="1"/>
  <c r="V161" i="1"/>
  <c r="P161" i="1"/>
  <c r="N161" i="1"/>
  <c r="W160" i="1"/>
  <c r="V160" i="1"/>
  <c r="T160" i="1"/>
  <c r="P160" i="1"/>
  <c r="N160" i="1"/>
  <c r="W159" i="1"/>
  <c r="V159" i="1"/>
  <c r="X159" i="1" s="1"/>
  <c r="T159" i="1"/>
  <c r="P159" i="1"/>
  <c r="N159" i="1"/>
  <c r="W158" i="1"/>
  <c r="V158" i="1"/>
  <c r="T158" i="1"/>
  <c r="P158" i="1"/>
  <c r="N158" i="1"/>
  <c r="W157" i="1"/>
  <c r="V157" i="1"/>
  <c r="T157" i="1"/>
  <c r="P157" i="1"/>
  <c r="N157" i="1"/>
  <c r="W156" i="1"/>
  <c r="V156" i="1"/>
  <c r="T156" i="1"/>
  <c r="P156" i="1"/>
  <c r="Q156" i="1" s="1"/>
  <c r="Q157" i="1" s="1"/>
  <c r="Q158" i="1" s="1"/>
  <c r="N156" i="1"/>
  <c r="W155" i="1"/>
  <c r="V155" i="1"/>
  <c r="P155" i="1"/>
  <c r="N155" i="1"/>
  <c r="W154" i="1"/>
  <c r="V154" i="1"/>
  <c r="T154" i="1"/>
  <c r="P154" i="1"/>
  <c r="N154" i="1"/>
  <c r="W153" i="1"/>
  <c r="V153" i="1"/>
  <c r="X153" i="1" s="1"/>
  <c r="T153" i="1"/>
  <c r="P153" i="1"/>
  <c r="N153" i="1"/>
  <c r="W152" i="1"/>
  <c r="V152" i="1"/>
  <c r="T152" i="1"/>
  <c r="P152" i="1"/>
  <c r="N152" i="1"/>
  <c r="W151" i="1"/>
  <c r="V151" i="1"/>
  <c r="X151" i="1" s="1"/>
  <c r="T151" i="1"/>
  <c r="P151" i="1"/>
  <c r="Q151" i="1" s="1"/>
  <c r="Q152" i="1" s="1"/>
  <c r="Q153" i="1" s="1"/>
  <c r="Q154" i="1" s="1"/>
  <c r="Q155" i="1" s="1"/>
  <c r="T155" i="1" s="1"/>
  <c r="U155" i="1" s="1"/>
  <c r="N151" i="1"/>
  <c r="W150" i="1"/>
  <c r="X150" i="1" s="1"/>
  <c r="V150" i="1"/>
  <c r="P150" i="1"/>
  <c r="N150" i="1"/>
  <c r="W149" i="1"/>
  <c r="V149" i="1"/>
  <c r="T149" i="1"/>
  <c r="P149" i="1"/>
  <c r="N149" i="1"/>
  <c r="W148" i="1"/>
  <c r="V148" i="1"/>
  <c r="X148" i="1" s="1"/>
  <c r="T148" i="1"/>
  <c r="P148" i="1"/>
  <c r="N148" i="1"/>
  <c r="W147" i="1"/>
  <c r="V147" i="1"/>
  <c r="T147" i="1"/>
  <c r="P147" i="1"/>
  <c r="N147" i="1"/>
  <c r="W146" i="1"/>
  <c r="V146" i="1"/>
  <c r="T146" i="1"/>
  <c r="P146" i="1"/>
  <c r="N146" i="1"/>
  <c r="W145" i="1"/>
  <c r="V145" i="1"/>
  <c r="T145" i="1"/>
  <c r="P145" i="1"/>
  <c r="N145" i="1"/>
  <c r="W144" i="1"/>
  <c r="V144" i="1"/>
  <c r="X144" i="1" s="1"/>
  <c r="T144" i="1"/>
  <c r="P144" i="1"/>
  <c r="N144" i="1"/>
  <c r="W143" i="1"/>
  <c r="X143" i="1" s="1"/>
  <c r="V143" i="1"/>
  <c r="T143" i="1"/>
  <c r="P143" i="1"/>
  <c r="Q143" i="1" s="1"/>
  <c r="Q144" i="1" s="1"/>
  <c r="Q145" i="1" s="1"/>
  <c r="N143" i="1"/>
  <c r="W142" i="1"/>
  <c r="V142" i="1"/>
  <c r="P142" i="1"/>
  <c r="N142" i="1"/>
  <c r="W141" i="1"/>
  <c r="V141" i="1"/>
  <c r="X141" i="1" s="1"/>
  <c r="T141" i="1"/>
  <c r="P141" i="1"/>
  <c r="N141" i="1"/>
  <c r="W140" i="1"/>
  <c r="V140" i="1"/>
  <c r="T140" i="1"/>
  <c r="P140" i="1"/>
  <c r="N140" i="1"/>
  <c r="W139" i="1"/>
  <c r="X139" i="1" s="1"/>
  <c r="V139" i="1"/>
  <c r="T139" i="1"/>
  <c r="P139" i="1"/>
  <c r="N139" i="1"/>
  <c r="W138" i="1"/>
  <c r="V138" i="1"/>
  <c r="T138" i="1"/>
  <c r="P138" i="1"/>
  <c r="N138" i="1"/>
  <c r="W137" i="1"/>
  <c r="V137" i="1"/>
  <c r="T137" i="1"/>
  <c r="P137" i="1"/>
  <c r="N137" i="1"/>
  <c r="W136" i="1"/>
  <c r="V136" i="1"/>
  <c r="T136" i="1"/>
  <c r="P136" i="1"/>
  <c r="N136" i="1"/>
  <c r="W135" i="1"/>
  <c r="V135" i="1"/>
  <c r="T135" i="1"/>
  <c r="P135" i="1"/>
  <c r="Q135" i="1" s="1"/>
  <c r="Q136" i="1" s="1"/>
  <c r="Q137" i="1" s="1"/>
  <c r="N135" i="1"/>
  <c r="W134" i="1"/>
  <c r="V134" i="1"/>
  <c r="P134" i="1"/>
  <c r="N134" i="1"/>
  <c r="W133" i="1"/>
  <c r="V133" i="1"/>
  <c r="T133" i="1"/>
  <c r="P133" i="1"/>
  <c r="N133" i="1"/>
  <c r="W132" i="1"/>
  <c r="V132" i="1"/>
  <c r="T132" i="1"/>
  <c r="P132" i="1"/>
  <c r="N132" i="1"/>
  <c r="W131" i="1"/>
  <c r="V131" i="1"/>
  <c r="X131" i="1" s="1"/>
  <c r="T131" i="1"/>
  <c r="P131" i="1"/>
  <c r="N131" i="1"/>
  <c r="W130" i="1"/>
  <c r="X130" i="1" s="1"/>
  <c r="V130" i="1"/>
  <c r="T130" i="1"/>
  <c r="P130" i="1"/>
  <c r="Q130" i="1" s="1"/>
  <c r="Q131" i="1" s="1"/>
  <c r="N130" i="1"/>
  <c r="W129" i="1"/>
  <c r="V129" i="1"/>
  <c r="X129" i="1" s="1"/>
  <c r="P129" i="1"/>
  <c r="N129" i="1"/>
  <c r="W128" i="1"/>
  <c r="V128" i="1"/>
  <c r="X128" i="1" s="1"/>
  <c r="T128" i="1"/>
  <c r="P128" i="1"/>
  <c r="N128" i="1"/>
  <c r="W127" i="1"/>
  <c r="V127" i="1"/>
  <c r="T127" i="1"/>
  <c r="P127" i="1"/>
  <c r="N127" i="1"/>
  <c r="W126" i="1"/>
  <c r="V126" i="1"/>
  <c r="T126" i="1"/>
  <c r="P126" i="1"/>
  <c r="N126" i="1"/>
  <c r="W125" i="1"/>
  <c r="V125" i="1"/>
  <c r="T125" i="1"/>
  <c r="P125" i="1"/>
  <c r="N125" i="1"/>
  <c r="W124" i="1"/>
  <c r="V124" i="1"/>
  <c r="X124" i="1" s="1"/>
  <c r="T124" i="1"/>
  <c r="P124" i="1"/>
  <c r="N124" i="1"/>
  <c r="W123" i="1"/>
  <c r="V123" i="1"/>
  <c r="T123" i="1"/>
  <c r="P123" i="1"/>
  <c r="N123" i="1"/>
  <c r="W122" i="1"/>
  <c r="V122" i="1"/>
  <c r="T122" i="1"/>
  <c r="P122" i="1"/>
  <c r="N122" i="1"/>
  <c r="W121" i="1"/>
  <c r="V121" i="1"/>
  <c r="T121" i="1"/>
  <c r="P121" i="1"/>
  <c r="N121" i="1"/>
  <c r="W120" i="1"/>
  <c r="V120" i="1"/>
  <c r="X120" i="1" s="1"/>
  <c r="T120" i="1"/>
  <c r="P120" i="1"/>
  <c r="N120" i="1"/>
  <c r="X119" i="1"/>
  <c r="W119" i="1"/>
  <c r="V119" i="1"/>
  <c r="T119" i="1"/>
  <c r="P119" i="1"/>
  <c r="Q119" i="1" s="1"/>
  <c r="Q120" i="1" s="1"/>
  <c r="N119" i="1"/>
  <c r="W118" i="1"/>
  <c r="V118" i="1"/>
  <c r="P118" i="1"/>
  <c r="N118" i="1"/>
  <c r="W117" i="1"/>
  <c r="V117" i="1"/>
  <c r="X117" i="1" s="1"/>
  <c r="T117" i="1"/>
  <c r="P117" i="1"/>
  <c r="N117" i="1"/>
  <c r="W116" i="1"/>
  <c r="V116" i="1"/>
  <c r="T116" i="1"/>
  <c r="P116" i="1"/>
  <c r="N116" i="1"/>
  <c r="W115" i="1"/>
  <c r="V115" i="1"/>
  <c r="X115" i="1" s="1"/>
  <c r="T115" i="1"/>
  <c r="P115" i="1"/>
  <c r="N115" i="1"/>
  <c r="W114" i="1"/>
  <c r="X114" i="1" s="1"/>
  <c r="V114" i="1"/>
  <c r="T114" i="1"/>
  <c r="P114" i="1"/>
  <c r="N114" i="1"/>
  <c r="W113" i="1"/>
  <c r="V113" i="1"/>
  <c r="X113" i="1" s="1"/>
  <c r="T113" i="1"/>
  <c r="P113" i="1"/>
  <c r="N113" i="1"/>
  <c r="W112" i="1"/>
  <c r="V112" i="1"/>
  <c r="X112" i="1" s="1"/>
  <c r="T112" i="1"/>
  <c r="P112" i="1"/>
  <c r="Q112" i="1" s="1"/>
  <c r="N112" i="1"/>
  <c r="W111" i="1"/>
  <c r="V111" i="1"/>
  <c r="X111" i="1" s="1"/>
  <c r="P111" i="1"/>
  <c r="N111" i="1"/>
  <c r="W110" i="1"/>
  <c r="V110" i="1"/>
  <c r="T110" i="1"/>
  <c r="P110" i="1"/>
  <c r="N110" i="1"/>
  <c r="W109" i="1"/>
  <c r="V109" i="1"/>
  <c r="X109" i="1" s="1"/>
  <c r="T109" i="1"/>
  <c r="P109" i="1"/>
  <c r="N109" i="1"/>
  <c r="W108" i="1"/>
  <c r="V108" i="1"/>
  <c r="T108" i="1"/>
  <c r="P108" i="1"/>
  <c r="N108" i="1"/>
  <c r="W107" i="1"/>
  <c r="V107" i="1"/>
  <c r="X107" i="1" s="1"/>
  <c r="T107" i="1"/>
  <c r="P107" i="1"/>
  <c r="N107" i="1"/>
  <c r="W106" i="1"/>
  <c r="V106" i="1"/>
  <c r="X106" i="1" s="1"/>
  <c r="T106" i="1"/>
  <c r="P106" i="1"/>
  <c r="N106" i="1"/>
  <c r="W105" i="1"/>
  <c r="V105" i="1"/>
  <c r="T105" i="1"/>
  <c r="P105" i="1"/>
  <c r="N105" i="1"/>
  <c r="W104" i="1"/>
  <c r="V104" i="1"/>
  <c r="X104" i="1" s="1"/>
  <c r="T104" i="1"/>
  <c r="P104" i="1"/>
  <c r="N104" i="1"/>
  <c r="W103" i="1"/>
  <c r="V103" i="1"/>
  <c r="X103" i="1" s="1"/>
  <c r="T103" i="1"/>
  <c r="P103" i="1"/>
  <c r="N103" i="1"/>
  <c r="W102" i="1"/>
  <c r="X102" i="1" s="1"/>
  <c r="V102" i="1"/>
  <c r="T102" i="1"/>
  <c r="P102" i="1"/>
  <c r="Q102" i="1" s="1"/>
  <c r="N102" i="1"/>
  <c r="W101" i="1"/>
  <c r="V101" i="1"/>
  <c r="P101" i="1"/>
  <c r="N101" i="1"/>
  <c r="W100" i="1"/>
  <c r="V100" i="1"/>
  <c r="X100" i="1" s="1"/>
  <c r="T100" i="1"/>
  <c r="P100" i="1"/>
  <c r="N100" i="1"/>
  <c r="W99" i="1"/>
  <c r="V99" i="1"/>
  <c r="X99" i="1" s="1"/>
  <c r="T99" i="1"/>
  <c r="P99" i="1"/>
  <c r="N99" i="1"/>
  <c r="W98" i="1"/>
  <c r="V98" i="1"/>
  <c r="X98" i="1" s="1"/>
  <c r="T98" i="1"/>
  <c r="P98" i="1"/>
  <c r="N98" i="1"/>
  <c r="W97" i="1"/>
  <c r="V97" i="1"/>
  <c r="T97" i="1"/>
  <c r="P97" i="1"/>
  <c r="N97" i="1"/>
  <c r="W96" i="1"/>
  <c r="V96" i="1"/>
  <c r="X96" i="1" s="1"/>
  <c r="T96" i="1"/>
  <c r="P96" i="1"/>
  <c r="Q96" i="1" s="1"/>
  <c r="N96" i="1"/>
  <c r="W95" i="1"/>
  <c r="V95" i="1"/>
  <c r="P95" i="1"/>
  <c r="N95" i="1"/>
  <c r="W94" i="1"/>
  <c r="X94" i="1" s="1"/>
  <c r="V94" i="1"/>
  <c r="T94" i="1"/>
  <c r="P94" i="1"/>
  <c r="N94" i="1"/>
  <c r="W93" i="1"/>
  <c r="V93" i="1"/>
  <c r="T93" i="1"/>
  <c r="P93" i="1"/>
  <c r="N93" i="1"/>
  <c r="W92" i="1"/>
  <c r="V92" i="1"/>
  <c r="T92" i="1"/>
  <c r="P92" i="1"/>
  <c r="N92" i="1"/>
  <c r="W91" i="1"/>
  <c r="V91" i="1"/>
  <c r="T91" i="1"/>
  <c r="P91" i="1"/>
  <c r="N91" i="1"/>
  <c r="W90" i="1"/>
  <c r="V90" i="1"/>
  <c r="X90" i="1" s="1"/>
  <c r="T90" i="1"/>
  <c r="P90" i="1"/>
  <c r="N90" i="1"/>
  <c r="W89" i="1"/>
  <c r="V89" i="1"/>
  <c r="T89" i="1"/>
  <c r="P89" i="1"/>
  <c r="Q89" i="1" s="1"/>
  <c r="N89" i="1"/>
  <c r="W88" i="1"/>
  <c r="V88" i="1"/>
  <c r="P88" i="1"/>
  <c r="N88" i="1"/>
  <c r="W87" i="1"/>
  <c r="V87" i="1"/>
  <c r="T87" i="1"/>
  <c r="P87" i="1"/>
  <c r="N87" i="1"/>
  <c r="W86" i="1"/>
  <c r="V86" i="1"/>
  <c r="X86" i="1" s="1"/>
  <c r="T86" i="1"/>
  <c r="P86" i="1"/>
  <c r="N86" i="1"/>
  <c r="W85" i="1"/>
  <c r="V85" i="1"/>
  <c r="T85" i="1"/>
  <c r="P85" i="1"/>
  <c r="N85" i="1"/>
  <c r="W84" i="1"/>
  <c r="V84" i="1"/>
  <c r="T84" i="1"/>
  <c r="P84" i="1"/>
  <c r="N84" i="1"/>
  <c r="W83" i="1"/>
  <c r="V83" i="1"/>
  <c r="X83" i="1" s="1"/>
  <c r="T83" i="1"/>
  <c r="P83" i="1"/>
  <c r="N83" i="1"/>
  <c r="W82" i="1"/>
  <c r="V82" i="1"/>
  <c r="X82" i="1" s="1"/>
  <c r="T82" i="1"/>
  <c r="P82" i="1"/>
  <c r="N82" i="1"/>
  <c r="W81" i="1"/>
  <c r="X81" i="1" s="1"/>
  <c r="V81" i="1"/>
  <c r="T81" i="1"/>
  <c r="P81" i="1"/>
  <c r="N81" i="1"/>
  <c r="W80" i="1"/>
  <c r="V80" i="1"/>
  <c r="X80" i="1" s="1"/>
  <c r="T80" i="1"/>
  <c r="P80" i="1"/>
  <c r="N80" i="1"/>
  <c r="W79" i="1"/>
  <c r="V79" i="1"/>
  <c r="T79" i="1"/>
  <c r="P79" i="1"/>
  <c r="Q79" i="1" s="1"/>
  <c r="N79" i="1"/>
  <c r="W78" i="1"/>
  <c r="V78" i="1"/>
  <c r="P78" i="1"/>
  <c r="N78" i="1"/>
  <c r="W77" i="1"/>
  <c r="V77" i="1"/>
  <c r="T77" i="1"/>
  <c r="P77" i="1"/>
  <c r="N77" i="1"/>
  <c r="W76" i="1"/>
  <c r="V76" i="1"/>
  <c r="T76" i="1"/>
  <c r="P76" i="1"/>
  <c r="N76" i="1"/>
  <c r="W75" i="1"/>
  <c r="V75" i="1"/>
  <c r="X75" i="1" s="1"/>
  <c r="T75" i="1"/>
  <c r="P75" i="1"/>
  <c r="N75" i="1"/>
  <c r="W74" i="1"/>
  <c r="X74" i="1" s="1"/>
  <c r="V74" i="1"/>
  <c r="T74" i="1"/>
  <c r="P74" i="1"/>
  <c r="N74" i="1"/>
  <c r="W73" i="1"/>
  <c r="V73" i="1"/>
  <c r="T73" i="1"/>
  <c r="P73" i="1"/>
  <c r="Q73" i="1" s="1"/>
  <c r="Q74" i="1" s="1"/>
  <c r="N73" i="1"/>
  <c r="W72" i="1"/>
  <c r="V72" i="1"/>
  <c r="X72" i="1" s="1"/>
  <c r="P72" i="1"/>
  <c r="N72" i="1"/>
  <c r="W71" i="1"/>
  <c r="V71" i="1"/>
  <c r="T71" i="1"/>
  <c r="P71" i="1"/>
  <c r="N71" i="1"/>
  <c r="W70" i="1"/>
  <c r="V70" i="1"/>
  <c r="T70" i="1"/>
  <c r="P70" i="1"/>
  <c r="N70" i="1"/>
  <c r="W69" i="1"/>
  <c r="V69" i="1"/>
  <c r="T69" i="1"/>
  <c r="P69" i="1"/>
  <c r="N69" i="1"/>
  <c r="W68" i="1"/>
  <c r="V68" i="1"/>
  <c r="X68" i="1" s="1"/>
  <c r="T68" i="1"/>
  <c r="P68" i="1"/>
  <c r="N68" i="1"/>
  <c r="W67" i="1"/>
  <c r="V67" i="1"/>
  <c r="X67" i="1" s="1"/>
  <c r="T67" i="1"/>
  <c r="P67" i="1"/>
  <c r="Q67" i="1" s="1"/>
  <c r="Q68" i="1" s="1"/>
  <c r="N67" i="1"/>
  <c r="W66" i="1"/>
  <c r="X66" i="1" s="1"/>
  <c r="V66" i="1"/>
  <c r="P66" i="1"/>
  <c r="N66" i="1"/>
  <c r="W65" i="1"/>
  <c r="V65" i="1"/>
  <c r="T65" i="1"/>
  <c r="P65" i="1"/>
  <c r="N65" i="1"/>
  <c r="W64" i="1"/>
  <c r="V64" i="1"/>
  <c r="X64" i="1" s="1"/>
  <c r="T64" i="1"/>
  <c r="P64" i="1"/>
  <c r="N64" i="1"/>
  <c r="W63" i="1"/>
  <c r="V63" i="1"/>
  <c r="T63" i="1"/>
  <c r="P63" i="1"/>
  <c r="N63" i="1"/>
  <c r="W62" i="1"/>
  <c r="V62" i="1"/>
  <c r="X62" i="1" s="1"/>
  <c r="T62" i="1"/>
  <c r="P62" i="1"/>
  <c r="N62" i="1"/>
  <c r="W61" i="1"/>
  <c r="V61" i="1"/>
  <c r="T61" i="1"/>
  <c r="P61" i="1"/>
  <c r="Q61" i="1" s="1"/>
  <c r="N61" i="1"/>
  <c r="W60" i="1"/>
  <c r="V60" i="1"/>
  <c r="T60" i="1"/>
  <c r="P60" i="1"/>
  <c r="N60" i="1"/>
  <c r="W59" i="1"/>
  <c r="V59" i="1"/>
  <c r="T59" i="1"/>
  <c r="P59" i="1"/>
  <c r="N59" i="1"/>
  <c r="W58" i="1"/>
  <c r="V58" i="1"/>
  <c r="T58" i="1"/>
  <c r="P58" i="1"/>
  <c r="N58" i="1"/>
  <c r="W57" i="1"/>
  <c r="V57" i="1"/>
  <c r="T57" i="1"/>
  <c r="P57" i="1"/>
  <c r="N57" i="1"/>
  <c r="W56" i="1"/>
  <c r="V56" i="1"/>
  <c r="T56" i="1"/>
  <c r="P56" i="1"/>
  <c r="N56" i="1"/>
  <c r="W55" i="1"/>
  <c r="V55" i="1"/>
  <c r="X55" i="1" s="1"/>
  <c r="T55" i="1"/>
  <c r="P55" i="1"/>
  <c r="N55" i="1"/>
  <c r="W54" i="1"/>
  <c r="V54" i="1"/>
  <c r="X54" i="1" s="1"/>
  <c r="T54" i="1"/>
  <c r="P54" i="1"/>
  <c r="N54" i="1"/>
  <c r="W53" i="1"/>
  <c r="V53" i="1"/>
  <c r="T53" i="1"/>
  <c r="P53" i="1"/>
  <c r="Q53" i="1" s="1"/>
  <c r="Q54" i="1" s="1"/>
  <c r="N53" i="1"/>
  <c r="W52" i="1"/>
  <c r="V52" i="1"/>
  <c r="P52" i="1"/>
  <c r="N52" i="1"/>
  <c r="W51" i="1"/>
  <c r="V51" i="1"/>
  <c r="X51" i="1" s="1"/>
  <c r="T51" i="1"/>
  <c r="W50" i="1"/>
  <c r="V50" i="1"/>
  <c r="T50" i="1"/>
  <c r="P50" i="1"/>
  <c r="N50" i="1"/>
  <c r="W49" i="1"/>
  <c r="V49" i="1"/>
  <c r="X49" i="1" s="1"/>
  <c r="T49" i="1"/>
  <c r="P49" i="1"/>
  <c r="N49" i="1"/>
  <c r="W48" i="1"/>
  <c r="V48" i="1"/>
  <c r="T48" i="1"/>
  <c r="P48" i="1"/>
  <c r="N48" i="1"/>
  <c r="W47" i="1"/>
  <c r="V47" i="1"/>
  <c r="T47" i="1"/>
  <c r="P47" i="1"/>
  <c r="Q47" i="1" s="1"/>
  <c r="Q48" i="1" s="1"/>
  <c r="N47" i="1"/>
  <c r="W46" i="1"/>
  <c r="V46" i="1"/>
  <c r="X46" i="1" s="1"/>
  <c r="P46" i="1"/>
  <c r="N46" i="1"/>
  <c r="W45" i="1"/>
  <c r="V45" i="1"/>
  <c r="X45" i="1" s="1"/>
  <c r="T45" i="1"/>
  <c r="P45" i="1"/>
  <c r="N45" i="1"/>
  <c r="W44" i="1"/>
  <c r="V44" i="1"/>
  <c r="T44" i="1"/>
  <c r="P44" i="1"/>
  <c r="N44" i="1"/>
  <c r="W43" i="1"/>
  <c r="V43" i="1"/>
  <c r="T43" i="1"/>
  <c r="P43" i="1"/>
  <c r="N43" i="1"/>
  <c r="W42" i="1"/>
  <c r="V42" i="1"/>
  <c r="X42" i="1" s="1"/>
  <c r="T42" i="1"/>
  <c r="P42" i="1"/>
  <c r="N42" i="1"/>
  <c r="W41" i="1"/>
  <c r="V41" i="1"/>
  <c r="X41" i="1" s="1"/>
  <c r="T41" i="1"/>
  <c r="P41" i="1"/>
  <c r="N41" i="1"/>
  <c r="W40" i="1"/>
  <c r="X40" i="1" s="1"/>
  <c r="V40" i="1"/>
  <c r="T40" i="1"/>
  <c r="P40" i="1"/>
  <c r="N40" i="1"/>
  <c r="W39" i="1"/>
  <c r="V39" i="1"/>
  <c r="X39" i="1" s="1"/>
  <c r="T39" i="1"/>
  <c r="P39" i="1"/>
  <c r="Q39" i="1" s="1"/>
  <c r="Q40" i="1" s="1"/>
  <c r="Q41" i="1" s="1"/>
  <c r="Q42" i="1" s="1"/>
  <c r="Q43" i="1" s="1"/>
  <c r="Q44" i="1" s="1"/>
  <c r="Q45" i="1" s="1"/>
  <c r="Q46" i="1" s="1"/>
  <c r="T46" i="1" s="1"/>
  <c r="U46" i="1" s="1"/>
  <c r="N39" i="1"/>
  <c r="W38" i="1"/>
  <c r="V38" i="1"/>
  <c r="P38" i="1"/>
  <c r="N38" i="1"/>
  <c r="W37" i="1"/>
  <c r="V37" i="1"/>
  <c r="X37" i="1" s="1"/>
  <c r="T37" i="1"/>
  <c r="P37" i="1"/>
  <c r="N37" i="1"/>
  <c r="W36" i="1"/>
  <c r="V36" i="1"/>
  <c r="T36" i="1"/>
  <c r="P36" i="1"/>
  <c r="N36" i="1"/>
  <c r="W35" i="1"/>
  <c r="V35" i="1"/>
  <c r="T35" i="1"/>
  <c r="P35" i="1"/>
  <c r="N35" i="1"/>
  <c r="W34" i="1"/>
  <c r="V34" i="1"/>
  <c r="X34" i="1" s="1"/>
  <c r="T34" i="1"/>
  <c r="P34" i="1"/>
  <c r="N34" i="1"/>
  <c r="W33" i="1"/>
  <c r="X33" i="1" s="1"/>
  <c r="V33" i="1"/>
  <c r="T33" i="1"/>
  <c r="P33" i="1"/>
  <c r="N33" i="1"/>
  <c r="W32" i="1"/>
  <c r="V32" i="1"/>
  <c r="T32" i="1"/>
  <c r="P32" i="1"/>
  <c r="N32" i="1"/>
  <c r="W31" i="1"/>
  <c r="V31" i="1"/>
  <c r="X31" i="1" s="1"/>
  <c r="T31" i="1"/>
  <c r="P31" i="1"/>
  <c r="Q31" i="1" s="1"/>
  <c r="N31" i="1"/>
  <c r="W30" i="1"/>
  <c r="V30" i="1"/>
  <c r="X30" i="1" s="1"/>
  <c r="T30" i="1"/>
  <c r="W29" i="1"/>
  <c r="V29" i="1"/>
  <c r="X29" i="1" s="1"/>
  <c r="P29" i="1"/>
  <c r="N29" i="1"/>
  <c r="W28" i="1"/>
  <c r="V28" i="1"/>
  <c r="T28" i="1"/>
  <c r="P28" i="1"/>
  <c r="N28" i="1"/>
  <c r="W27" i="1"/>
  <c r="V27" i="1"/>
  <c r="T27" i="1"/>
  <c r="P27" i="1"/>
  <c r="Q27" i="1" s="1"/>
  <c r="Q28" i="1" s="1"/>
  <c r="Q29" i="1" s="1"/>
  <c r="T29" i="1" s="1"/>
  <c r="U29" i="1" s="1"/>
  <c r="N27" i="1"/>
  <c r="W26" i="1"/>
  <c r="V26" i="1"/>
  <c r="T26" i="1"/>
  <c r="W25" i="1"/>
  <c r="V25" i="1"/>
  <c r="P25" i="1"/>
  <c r="N25" i="1"/>
  <c r="W24" i="1"/>
  <c r="V24" i="1"/>
  <c r="T24" i="1"/>
  <c r="P24" i="1"/>
  <c r="Q24" i="1" s="1"/>
  <c r="N24" i="1"/>
  <c r="W23" i="1"/>
  <c r="V23" i="1"/>
  <c r="X23" i="1" s="1"/>
  <c r="P23" i="1"/>
  <c r="N23" i="1"/>
  <c r="W22" i="1"/>
  <c r="V22" i="1"/>
  <c r="T22" i="1"/>
  <c r="P22" i="1"/>
  <c r="Q22" i="1" s="1"/>
  <c r="N22" i="1"/>
  <c r="W21" i="1"/>
  <c r="V21" i="1"/>
  <c r="X21" i="1" s="1"/>
  <c r="T21" i="1"/>
  <c r="Q21" i="1"/>
  <c r="W20" i="1"/>
  <c r="V20" i="1"/>
  <c r="P20" i="1"/>
  <c r="N20" i="1"/>
  <c r="W19" i="1"/>
  <c r="V19" i="1"/>
  <c r="X19" i="1" s="1"/>
  <c r="T19" i="1"/>
  <c r="P19" i="1"/>
  <c r="N19" i="1"/>
  <c r="W18" i="1"/>
  <c r="V18" i="1"/>
  <c r="T18" i="1"/>
  <c r="P18" i="1"/>
  <c r="Q18" i="1" s="1"/>
  <c r="Q19" i="1" s="1"/>
  <c r="Q20" i="1" s="1"/>
  <c r="T20" i="1" s="1"/>
  <c r="U20" i="1" s="1"/>
  <c r="N18" i="1"/>
  <c r="W17" i="1"/>
  <c r="V17" i="1"/>
  <c r="T17" i="1"/>
  <c r="Q17" i="1"/>
  <c r="W16" i="1"/>
  <c r="V16" i="1"/>
  <c r="X16" i="1" s="1"/>
  <c r="P16" i="1"/>
  <c r="N16" i="1"/>
  <c r="W15" i="1"/>
  <c r="X15" i="1" s="1"/>
  <c r="V15" i="1"/>
  <c r="T15" i="1"/>
  <c r="P15" i="1"/>
  <c r="Q15" i="1" s="1"/>
  <c r="N15" i="1"/>
  <c r="W14" i="1"/>
  <c r="V14" i="1"/>
  <c r="P14" i="1"/>
  <c r="N14" i="1"/>
  <c r="W13" i="1"/>
  <c r="V13" i="1"/>
  <c r="X13" i="1" s="1"/>
  <c r="T13" i="1"/>
  <c r="P13" i="1"/>
  <c r="Q13" i="1" s="1"/>
  <c r="N13" i="1"/>
  <c r="W12" i="1"/>
  <c r="V12" i="1"/>
  <c r="P12" i="1"/>
  <c r="N12" i="1"/>
  <c r="W11" i="1"/>
  <c r="V11" i="1"/>
  <c r="T11" i="1"/>
  <c r="P11" i="1"/>
  <c r="N11" i="1"/>
  <c r="W10" i="1"/>
  <c r="V10" i="1"/>
  <c r="T10" i="1"/>
  <c r="P10" i="1"/>
  <c r="Q10" i="1" s="1"/>
  <c r="N10" i="1"/>
  <c r="W9" i="1"/>
  <c r="V9" i="1"/>
  <c r="X9" i="1" s="1"/>
  <c r="P9" i="1"/>
  <c r="Q9" i="1" s="1"/>
  <c r="T9" i="1" s="1"/>
  <c r="U9" i="1" s="1"/>
  <c r="N9" i="1"/>
  <c r="W8" i="1"/>
  <c r="V8" i="1"/>
  <c r="T8" i="1"/>
  <c r="Q8" i="1"/>
  <c r="W7" i="1"/>
  <c r="V7" i="1"/>
  <c r="X7" i="1" s="1"/>
  <c r="P7" i="1"/>
  <c r="N7" i="1"/>
  <c r="W6" i="1"/>
  <c r="V6" i="1"/>
  <c r="T6" i="1"/>
  <c r="P6" i="1"/>
  <c r="N6" i="1"/>
  <c r="W5" i="1"/>
  <c r="V5" i="1"/>
  <c r="T5" i="1"/>
  <c r="P5" i="1"/>
  <c r="N5" i="1"/>
  <c r="W4" i="1"/>
  <c r="V4" i="1"/>
  <c r="P4" i="1"/>
  <c r="Q4" i="1" s="1"/>
  <c r="N4" i="1"/>
  <c r="W3" i="1"/>
  <c r="V3" i="1"/>
  <c r="P3" i="1"/>
  <c r="N3" i="1"/>
  <c r="P2" i="1"/>
  <c r="Q2" i="1" s="1"/>
  <c r="N2" i="1"/>
  <c r="X78" i="1" l="1"/>
  <c r="X126" i="1"/>
  <c r="Q138" i="1"/>
  <c r="Q139" i="1" s="1"/>
  <c r="Q140" i="1" s="1"/>
  <c r="Q141" i="1" s="1"/>
  <c r="Q142" i="1" s="1"/>
  <c r="T142" i="1" s="1"/>
  <c r="U142" i="1" s="1"/>
  <c r="Q146" i="1"/>
  <c r="Q147" i="1" s="1"/>
  <c r="Q148" i="1" s="1"/>
  <c r="Q149" i="1" s="1"/>
  <c r="Q150" i="1" s="1"/>
  <c r="T150" i="1" s="1"/>
  <c r="U150" i="1" s="1"/>
  <c r="X191" i="1"/>
  <c r="X251" i="1"/>
  <c r="X311" i="1"/>
  <c r="X342" i="1"/>
  <c r="X5" i="1"/>
  <c r="X123" i="1"/>
  <c r="X172" i="1"/>
  <c r="X200" i="1"/>
  <c r="X205" i="1"/>
  <c r="X212" i="1"/>
  <c r="X258" i="1"/>
  <c r="X268" i="1"/>
  <c r="X287" i="1"/>
  <c r="X292" i="1"/>
  <c r="Q300" i="1"/>
  <c r="T300" i="1" s="1"/>
  <c r="U300" i="1" s="1"/>
  <c r="X298" i="1"/>
  <c r="X300" i="1"/>
  <c r="X70" i="1"/>
  <c r="X135" i="1"/>
  <c r="X146" i="1"/>
  <c r="X161" i="1"/>
  <c r="X164" i="1"/>
  <c r="X167" i="1"/>
  <c r="X169" i="1"/>
  <c r="Q182" i="1"/>
  <c r="Q183" i="1" s="1"/>
  <c r="Q184" i="1" s="1"/>
  <c r="Q185" i="1" s="1"/>
  <c r="Q186" i="1" s="1"/>
  <c r="T186" i="1" s="1"/>
  <c r="U186" i="1" s="1"/>
  <c r="X207" i="1"/>
  <c r="X217" i="1"/>
  <c r="Q227" i="1"/>
  <c r="Q228" i="1" s="1"/>
  <c r="Q229" i="1" s="1"/>
  <c r="Q230" i="1" s="1"/>
  <c r="Q231" i="1" s="1"/>
  <c r="Q232" i="1" s="1"/>
  <c r="T232" i="1" s="1"/>
  <c r="U232" i="1" s="1"/>
  <c r="X318" i="1"/>
  <c r="X331" i="1"/>
  <c r="Q339" i="1"/>
  <c r="Q340" i="1" s="1"/>
  <c r="Q341" i="1" s="1"/>
  <c r="Q342" i="1" s="1"/>
  <c r="T342" i="1" s="1"/>
  <c r="U342" i="1" s="1"/>
  <c r="X339" i="1"/>
  <c r="X370" i="1"/>
  <c r="X380" i="1"/>
  <c r="X383" i="1"/>
  <c r="Q5" i="1"/>
  <c r="Q6" i="1" s="1"/>
  <c r="Q11" i="1"/>
  <c r="Q12" i="1" s="1"/>
  <c r="T12" i="1" s="1"/>
  <c r="U12" i="1" s="1"/>
  <c r="Q25" i="1"/>
  <c r="T25" i="1" s="1"/>
  <c r="U25" i="1" s="1"/>
  <c r="Q16" i="1"/>
  <c r="T16" i="1" s="1"/>
  <c r="U16" i="1" s="1"/>
  <c r="Q23" i="1"/>
  <c r="T23" i="1" s="1"/>
  <c r="U23" i="1" s="1"/>
  <c r="X27" i="1"/>
  <c r="Q3" i="1"/>
  <c r="T3" i="1" s="1"/>
  <c r="U3" i="1" s="1"/>
  <c r="X11" i="1"/>
  <c r="Q90" i="1"/>
  <c r="X6" i="1"/>
  <c r="X8" i="1"/>
  <c r="X17" i="1"/>
  <c r="X26" i="1"/>
  <c r="X36" i="1"/>
  <c r="X38" i="1"/>
  <c r="X53" i="1"/>
  <c r="X58" i="1"/>
  <c r="X77" i="1"/>
  <c r="X79" i="1"/>
  <c r="X92" i="1"/>
  <c r="Q103" i="1"/>
  <c r="Q104" i="1" s="1"/>
  <c r="Q105" i="1" s="1"/>
  <c r="Q106" i="1" s="1"/>
  <c r="Q107" i="1" s="1"/>
  <c r="Q108" i="1" s="1"/>
  <c r="Q109" i="1" s="1"/>
  <c r="Q110" i="1" s="1"/>
  <c r="Q111" i="1" s="1"/>
  <c r="T111" i="1" s="1"/>
  <c r="U111" i="1" s="1"/>
  <c r="X127" i="1"/>
  <c r="X132" i="1"/>
  <c r="X137" i="1"/>
  <c r="X140" i="1"/>
  <c r="X145" i="1"/>
  <c r="X155" i="1"/>
  <c r="X176" i="1"/>
  <c r="X209" i="1"/>
  <c r="Q214" i="1"/>
  <c r="Q215" i="1" s="1"/>
  <c r="Q216" i="1" s="1"/>
  <c r="Q217" i="1" s="1"/>
  <c r="T217" i="1" s="1"/>
  <c r="U217" i="1" s="1"/>
  <c r="Q219" i="1"/>
  <c r="Q220" i="1" s="1"/>
  <c r="Q221" i="1" s="1"/>
  <c r="Q222" i="1" s="1"/>
  <c r="T222" i="1" s="1"/>
  <c r="U222" i="1" s="1"/>
  <c r="Q224" i="1"/>
  <c r="Q225" i="1" s="1"/>
  <c r="T225" i="1" s="1"/>
  <c r="U225" i="1" s="1"/>
  <c r="X229" i="1"/>
  <c r="X239" i="1"/>
  <c r="X242" i="1"/>
  <c r="X252" i="1"/>
  <c r="X262" i="1"/>
  <c r="Q302" i="1"/>
  <c r="Q303" i="1" s="1"/>
  <c r="Q304" i="1" s="1"/>
  <c r="T304" i="1" s="1"/>
  <c r="U304" i="1" s="1"/>
  <c r="X302" i="1"/>
  <c r="X304" i="1"/>
  <c r="X312" i="1"/>
  <c r="X325" i="1"/>
  <c r="X330" i="1"/>
  <c r="Q351" i="1"/>
  <c r="X351" i="1"/>
  <c r="X361" i="1"/>
  <c r="X364" i="1"/>
  <c r="Q75" i="1"/>
  <c r="Q76" i="1" s="1"/>
  <c r="Q77" i="1" s="1"/>
  <c r="Q78" i="1" s="1"/>
  <c r="T78" i="1" s="1"/>
  <c r="U78" i="1" s="1"/>
  <c r="Q172" i="1"/>
  <c r="Q173" i="1" s="1"/>
  <c r="Q174" i="1" s="1"/>
  <c r="T174" i="1" s="1"/>
  <c r="U174" i="1" s="1"/>
  <c r="Q177" i="1"/>
  <c r="Q178" i="1" s="1"/>
  <c r="Q179" i="1" s="1"/>
  <c r="Q180" i="1" s="1"/>
  <c r="T180" i="1" s="1"/>
  <c r="U180" i="1" s="1"/>
  <c r="Q262" i="1"/>
  <c r="Q263" i="1" s="1"/>
  <c r="Q264" i="1" s="1"/>
  <c r="Q265" i="1" s="1"/>
  <c r="Q266" i="1" s="1"/>
  <c r="T266" i="1" s="1"/>
  <c r="U266" i="1" s="1"/>
  <c r="Q325" i="1"/>
  <c r="Q326" i="1" s="1"/>
  <c r="Q327" i="1" s="1"/>
  <c r="Q328" i="1" s="1"/>
  <c r="Q329" i="1" s="1"/>
  <c r="Q330" i="1" s="1"/>
  <c r="T330" i="1" s="1"/>
  <c r="U330" i="1" s="1"/>
  <c r="X3" i="1"/>
  <c r="X12" i="1"/>
  <c r="X28" i="1"/>
  <c r="X35" i="1"/>
  <c r="Q49" i="1"/>
  <c r="Q50" i="1" s="1"/>
  <c r="Q52" i="1" s="1"/>
  <c r="T52" i="1" s="1"/>
  <c r="U52" i="1" s="1"/>
  <c r="X52" i="1"/>
  <c r="X60" i="1"/>
  <c r="X63" i="1"/>
  <c r="X71" i="1"/>
  <c r="X76" i="1"/>
  <c r="Q97" i="1"/>
  <c r="Q98" i="1" s="1"/>
  <c r="Q99" i="1" s="1"/>
  <c r="Q100" i="1" s="1"/>
  <c r="Q101" i="1" s="1"/>
  <c r="T101" i="1" s="1"/>
  <c r="U101" i="1" s="1"/>
  <c r="X105" i="1"/>
  <c r="X110" i="1"/>
  <c r="Q113" i="1"/>
  <c r="Q114" i="1" s="1"/>
  <c r="Q115" i="1" s="1"/>
  <c r="Q116" i="1" s="1"/>
  <c r="Q117" i="1" s="1"/>
  <c r="Q118" i="1" s="1"/>
  <c r="T118" i="1" s="1"/>
  <c r="U118" i="1" s="1"/>
  <c r="X134" i="1"/>
  <c r="X147" i="1"/>
  <c r="X157" i="1"/>
  <c r="X160" i="1"/>
  <c r="X168" i="1"/>
  <c r="X173" i="1"/>
  <c r="X183" i="1"/>
  <c r="Q199" i="1"/>
  <c r="Q200" i="1" s="1"/>
  <c r="T200" i="1" s="1"/>
  <c r="U200" i="1" s="1"/>
  <c r="X199" i="1"/>
  <c r="X201" i="1"/>
  <c r="Q206" i="1"/>
  <c r="X208" i="1"/>
  <c r="X218" i="1"/>
  <c r="X223" i="1"/>
  <c r="X228" i="1"/>
  <c r="X238" i="1"/>
  <c r="X241" i="1"/>
  <c r="X254" i="1"/>
  <c r="X264" i="1"/>
  <c r="X283" i="1"/>
  <c r="X293" i="1"/>
  <c r="X296" i="1"/>
  <c r="X314" i="1"/>
  <c r="X332" i="1"/>
  <c r="X340" i="1"/>
  <c r="X350" i="1"/>
  <c r="X390" i="1"/>
  <c r="X392" i="1"/>
  <c r="P393" i="1"/>
  <c r="Q234" i="1"/>
  <c r="Q235" i="1" s="1"/>
  <c r="Q236" i="1" s="1"/>
  <c r="Q237" i="1" s="1"/>
  <c r="Q238" i="1" s="1"/>
  <c r="T238" i="1" s="1"/>
  <c r="U238" i="1" s="1"/>
  <c r="X237" i="1"/>
  <c r="X246" i="1"/>
  <c r="Q258" i="1"/>
  <c r="Q259" i="1" s="1"/>
  <c r="Q260" i="1" s="1"/>
  <c r="T260" i="1" s="1"/>
  <c r="U260" i="1" s="1"/>
  <c r="X265" i="1"/>
  <c r="Q268" i="1"/>
  <c r="Q269" i="1" s="1"/>
  <c r="Q270" i="1" s="1"/>
  <c r="Q271" i="1" s="1"/>
  <c r="Q272" i="1" s="1"/>
  <c r="T272" i="1" s="1"/>
  <c r="U272" i="1" s="1"/>
  <c r="X269" i="1"/>
  <c r="X271" i="1"/>
  <c r="X284" i="1"/>
  <c r="Q288" i="1"/>
  <c r="Q289" i="1" s="1"/>
  <c r="Q290" i="1" s="1"/>
  <c r="Q291" i="1" s="1"/>
  <c r="T291" i="1" s="1"/>
  <c r="U291" i="1" s="1"/>
  <c r="X289" i="1"/>
  <c r="X295" i="1"/>
  <c r="X328" i="1"/>
  <c r="Q332" i="1"/>
  <c r="Q333" i="1" s="1"/>
  <c r="Q334" i="1" s="1"/>
  <c r="Q335" i="1" s="1"/>
  <c r="Q336" i="1" s="1"/>
  <c r="Q337" i="1" s="1"/>
  <c r="T337" i="1" s="1"/>
  <c r="U337" i="1" s="1"/>
  <c r="X333" i="1"/>
  <c r="X335" i="1"/>
  <c r="X336" i="1"/>
  <c r="X337" i="1"/>
  <c r="Q7" i="1"/>
  <c r="T7" i="1" s="1"/>
  <c r="U7" i="1" s="1"/>
  <c r="X20" i="1"/>
  <c r="X44" i="1"/>
  <c r="Q55" i="1"/>
  <c r="Q56" i="1" s="1"/>
  <c r="Q57" i="1" s="1"/>
  <c r="Q58" i="1" s="1"/>
  <c r="Q59" i="1" s="1"/>
  <c r="Q60" i="1" s="1"/>
  <c r="X57" i="1"/>
  <c r="X85" i="1"/>
  <c r="Q132" i="1"/>
  <c r="Q133" i="1" s="1"/>
  <c r="Q134" i="1" s="1"/>
  <c r="T134" i="1" s="1"/>
  <c r="U134" i="1" s="1"/>
  <c r="X178" i="1"/>
  <c r="X182" i="1"/>
  <c r="X186" i="1"/>
  <c r="Q211" i="1"/>
  <c r="Q212" i="1" s="1"/>
  <c r="T212" i="1" s="1"/>
  <c r="U212" i="1" s="1"/>
  <c r="X22" i="1"/>
  <c r="Q91" i="1"/>
  <c r="Q92" i="1" s="1"/>
  <c r="Q93" i="1" s="1"/>
  <c r="Q94" i="1" s="1"/>
  <c r="Q95" i="1" s="1"/>
  <c r="T95" i="1" s="1"/>
  <c r="U95" i="1" s="1"/>
  <c r="X97" i="1"/>
  <c r="X142" i="1"/>
  <c r="X154" i="1"/>
  <c r="X158" i="1"/>
  <c r="X162" i="1"/>
  <c r="Q247" i="1"/>
  <c r="Q248" i="1" s="1"/>
  <c r="Q249" i="1" s="1"/>
  <c r="Q250" i="1" s="1"/>
  <c r="T250" i="1" s="1"/>
  <c r="U250" i="1" s="1"/>
  <c r="Q281" i="1"/>
  <c r="Q282" i="1" s="1"/>
  <c r="Q283" i="1" s="1"/>
  <c r="Q284" i="1" s="1"/>
  <c r="Q285" i="1" s="1"/>
  <c r="Q286" i="1" s="1"/>
  <c r="T286" i="1" s="1"/>
  <c r="U286" i="1" s="1"/>
  <c r="Q294" i="1"/>
  <c r="Q295" i="1" s="1"/>
  <c r="Q296" i="1" s="1"/>
  <c r="Q315" i="1"/>
  <c r="Q316" i="1" s="1"/>
  <c r="Q317" i="1" s="1"/>
  <c r="T317" i="1" s="1"/>
  <c r="U317" i="1" s="1"/>
  <c r="Q352" i="1"/>
  <c r="Q353" i="1" s="1"/>
  <c r="Q354" i="1" s="1"/>
  <c r="Q355" i="1" s="1"/>
  <c r="T355" i="1" s="1"/>
  <c r="U355" i="1" s="1"/>
  <c r="Q382" i="1"/>
  <c r="Q383" i="1" s="1"/>
  <c r="Q384" i="1" s="1"/>
  <c r="Q385" i="1" s="1"/>
  <c r="T385" i="1" s="1"/>
  <c r="U385" i="1" s="1"/>
  <c r="Q388" i="1"/>
  <c r="Q389" i="1" s="1"/>
  <c r="Q390" i="1" s="1"/>
  <c r="Q391" i="1" s="1"/>
  <c r="Q392" i="1" s="1"/>
  <c r="T392" i="1" s="1"/>
  <c r="U392" i="1" s="1"/>
  <c r="X48" i="1"/>
  <c r="X89" i="1"/>
  <c r="X118" i="1"/>
  <c r="Q159" i="1"/>
  <c r="Q160" i="1" s="1"/>
  <c r="Q161" i="1" s="1"/>
  <c r="T161" i="1" s="1"/>
  <c r="U161" i="1" s="1"/>
  <c r="Q207" i="1"/>
  <c r="Q208" i="1" s="1"/>
  <c r="T208" i="1" s="1"/>
  <c r="U208" i="1" s="1"/>
  <c r="X14" i="1"/>
  <c r="X61" i="1"/>
  <c r="Q69" i="1"/>
  <c r="Q70" i="1" s="1"/>
  <c r="Q71" i="1" s="1"/>
  <c r="Q72" i="1" s="1"/>
  <c r="T72" i="1" s="1"/>
  <c r="U72" i="1" s="1"/>
  <c r="X93" i="1"/>
  <c r="X101" i="1"/>
  <c r="X138" i="1"/>
  <c r="X221" i="1"/>
  <c r="X225" i="1"/>
  <c r="X4" i="1"/>
  <c r="X10" i="1"/>
  <c r="Q14" i="1"/>
  <c r="T14" i="1" s="1"/>
  <c r="U14" i="1" s="1"/>
  <c r="X18" i="1"/>
  <c r="X24" i="1"/>
  <c r="X25" i="1"/>
  <c r="Q32" i="1"/>
  <c r="Q33" i="1" s="1"/>
  <c r="Q34" i="1" s="1"/>
  <c r="Q35" i="1" s="1"/>
  <c r="Q36" i="1" s="1"/>
  <c r="Q37" i="1" s="1"/>
  <c r="Q38" i="1" s="1"/>
  <c r="T38" i="1" s="1"/>
  <c r="U38" i="1" s="1"/>
  <c r="X32" i="1"/>
  <c r="X43" i="1"/>
  <c r="X47" i="1"/>
  <c r="X50" i="1"/>
  <c r="X56" i="1"/>
  <c r="X59" i="1"/>
  <c r="Q62" i="1"/>
  <c r="Q63" i="1" s="1"/>
  <c r="Q64" i="1" s="1"/>
  <c r="Q65" i="1" s="1"/>
  <c r="Q66" i="1" s="1"/>
  <c r="T66" i="1" s="1"/>
  <c r="U66" i="1" s="1"/>
  <c r="X65" i="1"/>
  <c r="X69" i="1"/>
  <c r="X73" i="1"/>
  <c r="Q80" i="1"/>
  <c r="Q81" i="1" s="1"/>
  <c r="Q82" i="1" s="1"/>
  <c r="Q83" i="1" s="1"/>
  <c r="Q84" i="1" s="1"/>
  <c r="Q85" i="1" s="1"/>
  <c r="Q86" i="1" s="1"/>
  <c r="Q87" i="1" s="1"/>
  <c r="Q88" i="1" s="1"/>
  <c r="T88" i="1" s="1"/>
  <c r="U88" i="1" s="1"/>
  <c r="X84" i="1"/>
  <c r="X87" i="1"/>
  <c r="X88" i="1"/>
  <c r="X91" i="1"/>
  <c r="X95" i="1"/>
  <c r="X108" i="1"/>
  <c r="X116" i="1"/>
  <c r="X122" i="1"/>
  <c r="X133" i="1"/>
  <c r="X136" i="1"/>
  <c r="X149" i="1"/>
  <c r="X152" i="1"/>
  <c r="X156" i="1"/>
  <c r="Q163" i="1"/>
  <c r="Q164" i="1" s="1"/>
  <c r="Q165" i="1" s="1"/>
  <c r="Q166" i="1" s="1"/>
  <c r="Q167" i="1" s="1"/>
  <c r="Q168" i="1" s="1"/>
  <c r="Q169" i="1" s="1"/>
  <c r="T169" i="1" s="1"/>
  <c r="U169" i="1" s="1"/>
  <c r="X166" i="1"/>
  <c r="X170" i="1"/>
  <c r="X174" i="1"/>
  <c r="X177" i="1"/>
  <c r="X181" i="1"/>
  <c r="X184" i="1"/>
  <c r="X190" i="1"/>
  <c r="Q194" i="1"/>
  <c r="Q195" i="1" s="1"/>
  <c r="Q196" i="1" s="1"/>
  <c r="Q197" i="1" s="1"/>
  <c r="T197" i="1" s="1"/>
  <c r="U197" i="1" s="1"/>
  <c r="X194" i="1"/>
  <c r="X198" i="1"/>
  <c r="Q202" i="1"/>
  <c r="Q203" i="1" s="1"/>
  <c r="Q204" i="1" s="1"/>
  <c r="T204" i="1" s="1"/>
  <c r="U204" i="1" s="1"/>
  <c r="X202" i="1"/>
  <c r="X216" i="1"/>
  <c r="X219" i="1"/>
  <c r="X236" i="1"/>
  <c r="Q240" i="1"/>
  <c r="Q241" i="1" s="1"/>
  <c r="Q242" i="1" s="1"/>
  <c r="Q243" i="1" s="1"/>
  <c r="Q244" i="1" s="1"/>
  <c r="T244" i="1" s="1"/>
  <c r="U244" i="1" s="1"/>
  <c r="X244" i="1"/>
  <c r="X247" i="1"/>
  <c r="X248" i="1"/>
  <c r="Q252" i="1"/>
  <c r="Q253" i="1" s="1"/>
  <c r="Q254" i="1" s="1"/>
  <c r="Q255" i="1" s="1"/>
  <c r="Q256" i="1" s="1"/>
  <c r="T256" i="1" s="1"/>
  <c r="U256" i="1" s="1"/>
  <c r="X253" i="1"/>
  <c r="X255" i="1"/>
  <c r="X259" i="1"/>
  <c r="X261" i="1"/>
  <c r="Q274" i="1"/>
  <c r="Q275" i="1" s="1"/>
  <c r="Q276" i="1" s="1"/>
  <c r="Q277" i="1" s="1"/>
  <c r="Q278" i="1" s="1"/>
  <c r="T278" i="1" s="1"/>
  <c r="U278" i="1" s="1"/>
  <c r="X282" i="1"/>
  <c r="X309" i="1"/>
  <c r="X315" i="1"/>
  <c r="X316" i="1"/>
  <c r="X317" i="1"/>
  <c r="X326" i="1"/>
  <c r="X353" i="1"/>
  <c r="X359" i="1"/>
  <c r="X363" i="1"/>
  <c r="X273" i="1"/>
  <c r="X275" i="1"/>
  <c r="X276" i="1"/>
  <c r="X279" i="1"/>
  <c r="X280" i="1"/>
  <c r="X297" i="1"/>
  <c r="X299" i="1"/>
  <c r="X301" i="1"/>
  <c r="X303" i="1"/>
  <c r="X305" i="1"/>
  <c r="X307" i="1"/>
  <c r="X308" i="1"/>
  <c r="X321" i="1"/>
  <c r="X324" i="1"/>
  <c r="X341" i="1"/>
  <c r="Q344" i="1"/>
  <c r="Q345" i="1" s="1"/>
  <c r="Q346" i="1" s="1"/>
  <c r="Q347" i="1" s="1"/>
  <c r="Q348" i="1" s="1"/>
  <c r="Q349" i="1" s="1"/>
  <c r="T349" i="1" s="1"/>
  <c r="U349" i="1" s="1"/>
  <c r="X345" i="1"/>
  <c r="X347" i="1"/>
  <c r="X348" i="1"/>
  <c r="X349" i="1"/>
  <c r="Q362" i="1"/>
  <c r="Q363" i="1" s="1"/>
  <c r="Q364" i="1" s="1"/>
  <c r="Q365" i="1" s="1"/>
  <c r="Q366" i="1" s="1"/>
  <c r="Q367" i="1" s="1"/>
  <c r="Q368" i="1" s="1"/>
  <c r="Q369" i="1" s="1"/>
  <c r="Q370" i="1" s="1"/>
  <c r="T370" i="1" s="1"/>
  <c r="U370" i="1" s="1"/>
  <c r="X369" i="1"/>
  <c r="Q372" i="1"/>
  <c r="Q373" i="1" s="1"/>
  <c r="Q374" i="1" s="1"/>
  <c r="T374" i="1" s="1"/>
  <c r="U374" i="1" s="1"/>
  <c r="X373" i="1"/>
  <c r="Q376" i="1"/>
  <c r="Q377" i="1" s="1"/>
  <c r="Q378" i="1" s="1"/>
  <c r="Q379" i="1" s="1"/>
  <c r="T379" i="1" s="1"/>
  <c r="U379" i="1" s="1"/>
  <c r="X377" i="1"/>
  <c r="X381" i="1"/>
  <c r="X386" i="1"/>
  <c r="X387" i="1"/>
  <c r="X365" i="1"/>
  <c r="X367" i="1"/>
  <c r="X368" i="1"/>
  <c r="X371" i="1"/>
  <c r="X372" i="1"/>
  <c r="X375" i="1"/>
  <c r="X376" i="1"/>
  <c r="X379" i="1"/>
  <c r="Q121" i="1"/>
  <c r="Q122" i="1" s="1"/>
  <c r="Q123" i="1" s="1"/>
  <c r="Q124" i="1" s="1"/>
  <c r="Q125" i="1" s="1"/>
  <c r="Q126" i="1" s="1"/>
  <c r="Q127" i="1" s="1"/>
  <c r="Q128" i="1" s="1"/>
  <c r="Q129" i="1" s="1"/>
  <c r="T129" i="1" s="1"/>
  <c r="U129" i="1" s="1"/>
  <c r="X121" i="1"/>
  <c r="X125" i="1"/>
  <c r="X245" i="1"/>
  <c r="X249" i="1"/>
  <c r="X257" i="1"/>
  <c r="CU399" i="1" l="1" a="1"/>
  <c r="CU399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<sst xmlns="http://schemas.openxmlformats.org/spreadsheetml/2006/main" count="483" uniqueCount="98">
  <si>
    <t>MONDAY</t>
  </si>
  <si>
    <t>SUNDAY</t>
  </si>
  <si>
    <t>TUESDAY</t>
  </si>
  <si>
    <t>WEDNESDAY</t>
  </si>
  <si>
    <t>THURSDAY</t>
  </si>
  <si>
    <t>FRIDAY</t>
  </si>
  <si>
    <t>SATURDAY</t>
  </si>
  <si>
    <t>Video Name:</t>
  </si>
  <si>
    <t>Duration (seconds)</t>
  </si>
  <si>
    <t>year</t>
  </si>
  <si>
    <t>mo</t>
  </si>
  <si>
    <t>date</t>
  </si>
  <si>
    <t>Minute</t>
  </si>
  <si>
    <t>Sum of Minutes:</t>
  </si>
  <si>
    <t>Start Time:</t>
  </si>
  <si>
    <t>End Time:</t>
  </si>
  <si>
    <t>Hour:</t>
  </si>
  <si>
    <t>Minutes:</t>
  </si>
  <si>
    <t>Add:</t>
  </si>
  <si>
    <t>Wednesday</t>
  </si>
  <si>
    <t>S_20130417_0600</t>
  </si>
  <si>
    <t>Sunday</t>
  </si>
  <si>
    <t>S_20130421_0604</t>
  </si>
  <si>
    <t>S_20130424_0607</t>
  </si>
  <si>
    <t>S_20130428_0611</t>
  </si>
  <si>
    <t>S_20130501_0614</t>
  </si>
  <si>
    <t>Saturday</t>
  </si>
  <si>
    <t>S_20130504_0617</t>
  </si>
  <si>
    <t>S_20130508_0621</t>
  </si>
  <si>
    <t>S_20130512_0625</t>
  </si>
  <si>
    <t>S_20130515_0628</t>
  </si>
  <si>
    <t>S_20130519_0702</t>
  </si>
  <si>
    <t>S_20130522_0705</t>
  </si>
  <si>
    <t xml:space="preserve">S_20130526_0709 </t>
  </si>
  <si>
    <t>S_20130529_0712</t>
  </si>
  <si>
    <t>S_20130605_0719</t>
  </si>
  <si>
    <t>S_20130608_0722</t>
  </si>
  <si>
    <t>S_20130612_0726</t>
  </si>
  <si>
    <t>S_20130616_0730</t>
  </si>
  <si>
    <t>S_20130619_0802</t>
  </si>
  <si>
    <t>S_20130622_0805</t>
  </si>
  <si>
    <t>S_20130626_0809</t>
  </si>
  <si>
    <t>S_20130630_0813</t>
  </si>
  <si>
    <t>S_20130703_0816</t>
  </si>
  <si>
    <t>S_20130706_0819</t>
  </si>
  <si>
    <t>S_20130710_0823</t>
  </si>
  <si>
    <t>S_20130714_0827</t>
  </si>
  <si>
    <t>S_20130717_0900</t>
  </si>
  <si>
    <t>S_20130720_0903</t>
  </si>
  <si>
    <t>S_20130724_0907</t>
  </si>
  <si>
    <t>S_20130728_0911</t>
  </si>
  <si>
    <t>S_20130731_0914</t>
  </si>
  <si>
    <t>S_20130803_0917</t>
  </si>
  <si>
    <t>Thursday</t>
  </si>
  <si>
    <t>S_20130808_0922</t>
  </si>
  <si>
    <t>S_20130811_0925</t>
  </si>
  <si>
    <t>S_20130814_0928</t>
  </si>
  <si>
    <t>S_20130818_1001</t>
  </si>
  <si>
    <t>S_20130822_1005</t>
  </si>
  <si>
    <t>S_20130824_1007</t>
  </si>
  <si>
    <t>S_20130829_1012</t>
  </si>
  <si>
    <t>S_20130901_1015</t>
  </si>
  <si>
    <t xml:space="preserve">S_20130905_1019 </t>
  </si>
  <si>
    <t xml:space="preserve"> S_20130908_1022</t>
  </si>
  <si>
    <t>S_20130911_1025</t>
  </si>
  <si>
    <t xml:space="preserve"> S_20130915_1029</t>
  </si>
  <si>
    <t>S_20130919_1102</t>
  </si>
  <si>
    <t>S_20130922_1105</t>
  </si>
  <si>
    <t>S_20130925_1108</t>
  </si>
  <si>
    <t>S_20130928_1111</t>
  </si>
  <si>
    <t>S_20131003_1116</t>
  </si>
  <si>
    <t>S_20131009_1122</t>
  </si>
  <si>
    <t>S_20131012_1125</t>
  </si>
  <si>
    <t>S_20131017_1200</t>
  </si>
  <si>
    <t>S_20131019_1202</t>
  </si>
  <si>
    <t>S_20131024_1207</t>
  </si>
  <si>
    <t>S_20131027_1210</t>
  </si>
  <si>
    <t>S_20131031_1214</t>
  </si>
  <si>
    <t>S_20131103_1217</t>
  </si>
  <si>
    <t>S_20131106_1220</t>
  </si>
  <si>
    <t>S_20131110_1224</t>
  </si>
  <si>
    <t>S_20131113_1227</t>
  </si>
  <si>
    <t xml:space="preserve"> S_20131117_1300</t>
  </si>
  <si>
    <t>S_20131121_1304</t>
  </si>
  <si>
    <t xml:space="preserve"> S_20131123_1306</t>
  </si>
  <si>
    <t>S_20131127_1310</t>
  </si>
  <si>
    <t>S_20131130_1313</t>
  </si>
  <si>
    <t>S_20131204_1317</t>
  </si>
  <si>
    <t>S_20131207_1320</t>
  </si>
  <si>
    <t xml:space="preserve"> S_20131212_1325</t>
  </si>
  <si>
    <t>S_20131214_1327</t>
  </si>
  <si>
    <t>Start Time Round Down</t>
  </si>
  <si>
    <t>End Time Round Down</t>
  </si>
  <si>
    <t>TIME</t>
  </si>
  <si>
    <t>Monday</t>
  </si>
  <si>
    <t>Tuesday</t>
  </si>
  <si>
    <t>Friday</t>
  </si>
  <si>
    <t>Time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</si>
</sst>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h:mm;@"/>
  </numFmts>
  <fonts count="12" x14ac:knownFonts="1">
    <font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0"/>
      <color rgb="FF0000FF"/>
      <name val="Arial"/>
      <family val="2"/>
    </font>
    <font>
      <sz val="10"/>
      <color theme="1"/>
      <name val="Arial"/>
      <family val="2"/>
    </font>
    <font>
      <sz val="9"/>
      <color rgb="FF333333"/>
      <name val="Calibri"/>
      <family val="2"/>
      <scheme val="minor"/>
    </font>
    <font>
      <sz val="10"/>
      <color rgb="FFB7B7B7"/>
      <name val="Arial"/>
      <family val="2"/>
    </font>
    <font>
      <sz val="9"/>
      <color rgb="FF333333"/>
      <name val="Arial"/>
      <family val="2"/>
    </font>
    <font>
      <sz val="10"/>
      <color rgb="FFFF0000"/>
      <name val="Arial"/>
      <family val="2"/>
    </font>
    <font>
      <sz val="9"/>
      <color rgb="FFFF0000"/>
      <name val="Calibri"/>
      <family val="2"/>
      <scheme val="minor"/>
    </font>
    <font>
      <sz val="8"/>
      <name val="Calibri"/>
      <family val="2"/>
      <scheme val="minor"/>
    </font>
    <font>
      <sz val="12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1">
    <xf numFmtId="0" fontId="0" fillId="0" borderId="0" xfId="0"/>
    <xf numFmtId="20" fontId="0" fillId="0" borderId="0" xfId="0" applyNumberFormat="1"/>
    <xf numFmtId="0" fontId="2" fillId="0" borderId="0" xfId="0" applyFont="1"/>
    <xf numFmtId="2" fontId="0" fillId="0" borderId="0" xfId="0" applyNumberFormat="1"/>
    <xf numFmtId="2" fontId="4" fillId="0" borderId="0" xfId="0" applyNumberFormat="1" applyFont="1"/>
    <xf numFmtId="0" fontId="4" fillId="0" borderId="0" xfId="0" applyFont="1"/>
    <xf numFmtId="1" fontId="0" fillId="0" borderId="0" xfId="0" applyNumberFormat="1"/>
    <xf numFmtId="164" fontId="0" fillId="0" borderId="0" xfId="0" applyNumberFormat="1"/>
    <xf numFmtId="0" fontId="5" fillId="0" borderId="0" xfId="0" applyFont="1"/>
    <xf numFmtId="0" fontId="6" fillId="0" borderId="0" xfId="0" applyFont="1"/>
    <xf numFmtId="0" fontId="7" fillId="0" borderId="0" xfId="0" applyFont="1"/>
    <xf numFmtId="2" fontId="8" fillId="0" borderId="0" xfId="0" applyNumberFormat="1" applyFont="1"/>
    <xf numFmtId="0" fontId="8" fillId="0" borderId="0" xfId="0" applyFont="1"/>
    <xf numFmtId="2" fontId="1" fillId="0" borderId="0" xfId="0" applyNumberFormat="1" applyFont="1"/>
    <xf numFmtId="0" fontId="1" fillId="0" borderId="0" xfId="0" applyFont="1"/>
    <xf numFmtId="1" fontId="1" fillId="0" borderId="0" xfId="0" applyNumberFormat="1" applyFont="1"/>
    <xf numFmtId="0" fontId="9" fillId="0" borderId="0" xfId="0" applyFont="1"/>
    <xf numFmtId="0" fontId="0" fillId="0" borderId="0" xfId="0" applyAlignment="1">
      <alignment wrapText="1"/>
    </xf>
    <xf numFmtId="49" fontId="0" fillId="0" borderId="0" xfId="0" applyNumberFormat="1"/>
    <xf numFmtId="49" fontId="2" fillId="0" borderId="0" xfId="0" applyNumberFormat="1" applyFont="1"/>
    <xf numFmtId="49" fontId="3" fillId="0" borderId="0" xfId="0" applyNumberFormat="1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482600</xdr:colOff>
          <xdr:row>8</xdr:row>
          <xdr:rowOff>38100</xdr:rowOff>
        </xdr:from>
        <xdr:to>
          <xdr:col>7</xdr:col>
          <xdr:colOff>0</xdr:colOff>
          <xdr:row>10</xdr:row>
          <xdr:rowOff>190500</xdr:rowOff>
        </xdr:to>
        <xdr:sp macro="" textlink="">
          <xdr:nvSpPr>
            <xdr:cNvPr id="1027" name="Button 3" descr="Sunday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Button 3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A79548-9D7F-2843-B64A-484452198380}">
  <sheetPr codeName="Sheet1"/>
  <dimension ref="A1:DP399"/>
  <sheetViews>
    <sheetView tabSelected="1" topLeftCell="J1" zoomScale="99" zoomScaleNormal="99" workbookViewId="0">
      <selection activeCell="Z3" sqref="Z3"/>
    </sheetView>
  </sheetViews>
  <sheetFormatPr baseColWidth="10" defaultRowHeight="16" x14ac:dyDescent="0.2"/>
  <sheetData>
    <row r="1" spans="1:120" s="18" customFormat="1" x14ac:dyDescent="0.2">
      <c r="A1" s="18" t="s">
        <v>93</v>
      </c>
      <c r="B1" s="18" t="s">
        <v>1</v>
      </c>
      <c r="C1" s="18" t="s">
        <v>0</v>
      </c>
      <c r="D1" s="18" t="s">
        <v>2</v>
      </c>
      <c r="E1" s="18" t="s">
        <v>3</v>
      </c>
      <c r="F1" s="18" t="s">
        <v>4</v>
      </c>
      <c r="G1" s="18" t="s">
        <v>5</v>
      </c>
      <c r="H1" s="18" t="s">
        <v>6</v>
      </c>
      <c r="I1" s="19" t="s">
        <v>7</v>
      </c>
      <c r="J1" s="20" t="s">
        <v>8</v>
      </c>
      <c r="K1" s="20" t="s">
        <v>9</v>
      </c>
      <c r="L1" s="20" t="s">
        <v>10</v>
      </c>
      <c r="M1" s="20" t="s">
        <v>11</v>
      </c>
      <c r="P1" s="20" t="s">
        <v>12</v>
      </c>
      <c r="Q1" s="20" t="s">
        <v>13</v>
      </c>
      <c r="R1" s="20" t="s">
        <v>14</v>
      </c>
      <c r="S1" s="20" t="s">
        <v>91</v>
      </c>
      <c r="T1" s="20" t="s">
        <v>15</v>
      </c>
      <c r="U1" s="20" t="s">
        <v>92</v>
      </c>
      <c r="V1" s="20" t="s">
        <v>16</v>
      </c>
      <c r="W1" s="20" t="s">
        <v>17</v>
      </c>
      <c r="X1" s="20" t="s">
        <v>18</v>
      </c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  <c r="BQ1" s="7"/>
      <c r="BR1" s="7"/>
      <c r="BS1" s="7"/>
      <c r="BT1" s="7"/>
      <c r="BU1" s="7"/>
      <c r="BV1" s="7"/>
      <c r="BW1" s="7"/>
      <c r="BX1" s="7"/>
      <c r="BY1" s="7"/>
      <c r="BZ1" s="7"/>
      <c r="CA1" s="7"/>
      <c r="CB1" s="7"/>
      <c r="CC1" s="7"/>
      <c r="CD1" s="7"/>
      <c r="CE1" s="7"/>
      <c r="CF1" s="7"/>
      <c r="CG1" s="7"/>
      <c r="CH1" s="7"/>
      <c r="CI1" s="7"/>
      <c r="CJ1" s="7"/>
      <c r="CK1" s="7"/>
      <c r="CL1" s="7"/>
      <c r="CM1" s="7"/>
      <c r="CN1" s="7"/>
      <c r="CO1" s="7"/>
      <c r="CP1" s="7"/>
      <c r="CQ1" s="7"/>
      <c r="CR1" s="7"/>
      <c r="CS1" s="7"/>
      <c r="CT1" s="7"/>
      <c r="CU1" s="7"/>
      <c r="CV1" s="7"/>
      <c r="CW1" s="7"/>
      <c r="CX1" s="7"/>
      <c r="CY1" s="7"/>
      <c r="CZ1" s="7"/>
      <c r="DA1" s="7"/>
      <c r="DB1" s="7"/>
      <c r="DC1" s="7"/>
      <c r="DD1" s="7"/>
      <c r="DE1" s="7"/>
      <c r="DF1" s="7"/>
      <c r="DG1" s="7"/>
      <c r="DH1" s="7"/>
      <c r="DI1" s="7"/>
      <c r="DJ1" s="7"/>
      <c r="DK1" s="7"/>
      <c r="DL1" s="7"/>
      <c r="DM1" s="7"/>
      <c r="DN1" s="7"/>
      <c r="DO1" s="7"/>
      <c r="DP1" s="7"/>
    </row>
    <row r="2" spans="1:120" x14ac:dyDescent="0.2">
      <c r="A2" s="1">
        <v>0.5</v>
      </c>
      <c r="C2" s="17"/>
      <c r="F2">
        <v>1</v>
      </c>
      <c r="H2">
        <v>3</v>
      </c>
      <c r="I2" s="2"/>
      <c r="J2" s="4">
        <v>1800</v>
      </c>
      <c r="K2" s="5">
        <v>2013</v>
      </c>
      <c r="L2" s="5">
        <v>4</v>
      </c>
      <c r="M2" s="5">
        <v>17</v>
      </c>
      <c r="N2" s="3" t="str">
        <f>K2&amp;","&amp;L2&amp;","&amp;M2</f>
        <v>2013,4,17</v>
      </c>
      <c r="O2" t="s">
        <v>19</v>
      </c>
      <c r="P2">
        <f t="shared" ref="P2:P7" si="0">J2/60</f>
        <v>30</v>
      </c>
      <c r="Q2" s="6">
        <f t="shared" ref="Q2:Q25" si="1">IF(O1=O2, Q1+P2,P2)</f>
        <v>30</v>
      </c>
      <c r="R2" s="7"/>
      <c r="S2" s="7"/>
      <c r="T2" s="7"/>
      <c r="U2" s="7"/>
      <c r="W2" s="3"/>
      <c r="X2" s="3"/>
    </row>
    <row r="3" spans="1:120" x14ac:dyDescent="0.2">
      <c r="A3" s="1">
        <v>0.51041666666666663</v>
      </c>
      <c r="F3">
        <v>1</v>
      </c>
      <c r="H3">
        <v>4</v>
      </c>
      <c r="I3" s="2" t="s">
        <v>20</v>
      </c>
      <c r="J3" s="4">
        <v>1109</v>
      </c>
      <c r="K3" s="5">
        <v>2013</v>
      </c>
      <c r="L3" s="5">
        <v>4</v>
      </c>
      <c r="M3" s="5">
        <v>17</v>
      </c>
      <c r="N3" s="3" t="str">
        <f t="shared" ref="N3:N66" si="2">K3&amp;","&amp;L3&amp;","&amp;M3</f>
        <v>2013,4,17</v>
      </c>
      <c r="O3" t="s">
        <v>19</v>
      </c>
      <c r="P3">
        <f t="shared" si="0"/>
        <v>18.483333333333334</v>
      </c>
      <c r="Q3" s="6">
        <f t="shared" si="1"/>
        <v>48.483333333333334</v>
      </c>
      <c r="R3" s="7">
        <v>0.26458333333333334</v>
      </c>
      <c r="S3" s="7">
        <f>FLOOR(R3,"0:15")</f>
        <v>0.26041666666666663</v>
      </c>
      <c r="T3" s="7">
        <f>IF(ISBLANK(R3),"",R3+TIME(0,Q3,0))</f>
        <v>0.29791666666666666</v>
      </c>
      <c r="U3" s="7">
        <f>FLOOR(T3,"0:15")</f>
        <v>0.29166666666666663</v>
      </c>
      <c r="V3">
        <f>HOUR(R3)</f>
        <v>6</v>
      </c>
      <c r="W3" s="3">
        <f>MINUTE(R3)/60</f>
        <v>0.35</v>
      </c>
      <c r="X3" s="3">
        <f>V3+W3</f>
        <v>6.35</v>
      </c>
      <c r="Z3" s="6">
        <f>AVERAGE(Q3,Q7,Q9,Q12,Q14,Q16,Q20,Q23,Q25,Q29,Q38,Q46,Q50,Q52,Q60,Q66,Q72,Q78,Q88,Q95,Q101,Q111,Q118,Q129,Q134,Q142,Q150,Q155,Q161,Q169,Q174,Q180,Q186,Q192,Q197,Q200,Q202,Q208,Q212,Q217,Q222,Q225,Q232,Q238,Q244,Q250,Q256,Q260,Q266,Q272,Q278,Q286,Q291,Q296,Q300,Q304,Q313,Q317,Q323,Q330,Q337,Q342,Q349,Q355,Q360,Q370,Q374,Q379,Q385,Q392)</f>
        <v>51.566428571428581</v>
      </c>
    </row>
    <row r="4" spans="1:120" x14ac:dyDescent="0.2">
      <c r="A4" s="1">
        <v>0.52083333333333337</v>
      </c>
      <c r="B4">
        <v>2</v>
      </c>
      <c r="F4">
        <v>1</v>
      </c>
      <c r="H4">
        <v>3</v>
      </c>
      <c r="I4" s="2"/>
      <c r="J4" s="4">
        <v>609</v>
      </c>
      <c r="K4" s="5">
        <v>2013</v>
      </c>
      <c r="L4" s="5">
        <v>4</v>
      </c>
      <c r="M4" s="5">
        <v>21</v>
      </c>
      <c r="N4" s="3" t="str">
        <f t="shared" si="2"/>
        <v>2013,4,21</v>
      </c>
      <c r="O4" t="s">
        <v>21</v>
      </c>
      <c r="P4">
        <f t="shared" si="0"/>
        <v>10.15</v>
      </c>
      <c r="Q4" s="6">
        <f t="shared" si="1"/>
        <v>10.15</v>
      </c>
      <c r="R4" s="7"/>
      <c r="S4" s="7"/>
      <c r="T4" s="7" t="str">
        <f>IF(ISBLANK(R4),"",R4+TIME(0,Q4,0))</f>
        <v/>
      </c>
      <c r="U4" s="7"/>
      <c r="V4">
        <f t="shared" ref="V4:V67" si="3">HOUR(R4)</f>
        <v>0</v>
      </c>
      <c r="W4" s="3">
        <f t="shared" ref="W4:W67" si="4">MINUTE(R4)/60</f>
        <v>0</v>
      </c>
      <c r="X4" s="3">
        <f t="shared" ref="X4:X67" si="5">V4+W4</f>
        <v>0</v>
      </c>
      <c r="Z4" s="6">
        <f>MIN(Q3,Q7,Q9,Q12,Q14,Q16,Q20,Q23,Q25,Q29,Q38,Q46,Q50,Q52,Q60,Q66,Q72,Q78,Q88,Q95,Q101,Q111,Q118,Q129,Q134,Q142,Q150,Q155,Q161,Q169,Q174,Q180,Q186,Q192,Q197,Q200,Q202,Q208,Q212,Q217,Q222,Q225,Q232,Q238,Q244,Q250,Q256,Q260,Q266,Q272,Q278,Q286,Q291,Q296,Q300,Q304,Q313,Q317,Q323,Q330,Q337,Q342,Q349,Q355,Q360,Q370,Q374,Q379,Q385,Q392)</f>
        <v>20.933333333333334</v>
      </c>
    </row>
    <row r="5" spans="1:120" x14ac:dyDescent="0.2">
      <c r="A5" s="1">
        <v>0.53125</v>
      </c>
      <c r="B5">
        <v>2</v>
      </c>
      <c r="F5">
        <v>1</v>
      </c>
      <c r="H5">
        <v>3</v>
      </c>
      <c r="I5" s="2"/>
      <c r="J5" s="4">
        <v>1800</v>
      </c>
      <c r="K5" s="5">
        <v>2013</v>
      </c>
      <c r="L5" s="5">
        <v>4</v>
      </c>
      <c r="M5" s="5">
        <v>21</v>
      </c>
      <c r="N5" s="3" t="str">
        <f t="shared" si="2"/>
        <v>2013,4,21</v>
      </c>
      <c r="O5" t="s">
        <v>21</v>
      </c>
      <c r="P5">
        <f t="shared" si="0"/>
        <v>30</v>
      </c>
      <c r="Q5" s="6">
        <f t="shared" si="1"/>
        <v>40.15</v>
      </c>
      <c r="R5" s="7"/>
      <c r="S5" s="7"/>
      <c r="T5" s="7" t="str">
        <f t="shared" ref="T5:T66" si="6">IF(ISBLANK(R5),"",R5+TIME(0,Q5,0))</f>
        <v/>
      </c>
      <c r="U5" s="7"/>
      <c r="V5">
        <f t="shared" si="3"/>
        <v>0</v>
      </c>
      <c r="W5" s="3">
        <f t="shared" si="4"/>
        <v>0</v>
      </c>
      <c r="X5" s="3">
        <f t="shared" si="5"/>
        <v>0</v>
      </c>
      <c r="Z5" s="6">
        <f>MAX(Q3,Q7,Q9,Q12,Q14,Q16,Q20,Q23,Q25,Q29,Q38,Q46,Q50,Q52,Q60,Q66,Q72,Q78,Q88,Q95,Q101,Q111,Q118,Q129,Q134,Q142,Q150,Q155,Q161,Q169,Q174,Q180,Q186,Q192,Q197,Q200,Q202,Q208,Q212,Q217,Q222,Q225,Q232,Q238,Q244,Q250,Q256,Q260,Q266,Q272,Q278,Q286,Q291,Q296,Q300,Q304,Q313,Q317,Q323,Q330,Q337,Q342,Q349,Q355,Q360,Q370,Q374,Q379,Q385,Q392)</f>
        <v>76.649999999999991</v>
      </c>
    </row>
    <row r="6" spans="1:120" x14ac:dyDescent="0.2">
      <c r="A6" s="1">
        <v>0.54166666666666696</v>
      </c>
      <c r="B6">
        <v>2</v>
      </c>
      <c r="F6">
        <v>1</v>
      </c>
      <c r="I6" s="2"/>
      <c r="J6" s="4">
        <v>1800</v>
      </c>
      <c r="K6" s="5">
        <v>2013</v>
      </c>
      <c r="L6" s="5">
        <v>4</v>
      </c>
      <c r="M6" s="5">
        <v>21</v>
      </c>
      <c r="N6" s="3" t="str">
        <f t="shared" si="2"/>
        <v>2013,4,21</v>
      </c>
      <c r="O6" t="s">
        <v>21</v>
      </c>
      <c r="P6">
        <f t="shared" si="0"/>
        <v>30</v>
      </c>
      <c r="Q6" s="6">
        <f t="shared" si="1"/>
        <v>70.150000000000006</v>
      </c>
      <c r="R6" s="7"/>
      <c r="S6" s="7"/>
      <c r="T6" s="7" t="str">
        <f t="shared" si="6"/>
        <v/>
      </c>
      <c r="U6" s="7"/>
      <c r="V6">
        <f t="shared" si="3"/>
        <v>0</v>
      </c>
      <c r="W6" s="3">
        <f t="shared" si="4"/>
        <v>0</v>
      </c>
      <c r="X6" s="3">
        <f t="shared" si="5"/>
        <v>0</v>
      </c>
    </row>
    <row r="7" spans="1:120" x14ac:dyDescent="0.2">
      <c r="A7" s="1">
        <v>0.55208333333333304</v>
      </c>
      <c r="B7">
        <v>2</v>
      </c>
      <c r="F7">
        <v>1</v>
      </c>
      <c r="I7" s="8" t="s">
        <v>22</v>
      </c>
      <c r="J7" s="4">
        <v>242</v>
      </c>
      <c r="K7" s="5">
        <v>2013</v>
      </c>
      <c r="L7" s="5">
        <v>4</v>
      </c>
      <c r="M7" s="5">
        <v>21</v>
      </c>
      <c r="N7" s="3" t="str">
        <f t="shared" si="2"/>
        <v>2013,4,21</v>
      </c>
      <c r="O7" t="s">
        <v>21</v>
      </c>
      <c r="P7">
        <f t="shared" si="0"/>
        <v>4.0333333333333332</v>
      </c>
      <c r="Q7" s="6">
        <f t="shared" si="1"/>
        <v>74.183333333333337</v>
      </c>
      <c r="R7" s="7">
        <v>0.39166666666666666</v>
      </c>
      <c r="S7" s="7">
        <f t="shared" ref="S7:S66" si="7">FLOOR(R7,"0:15")</f>
        <v>0.38541666666666663</v>
      </c>
      <c r="T7" s="7">
        <f t="shared" si="6"/>
        <v>0.44305555555555554</v>
      </c>
      <c r="U7" s="7">
        <f t="shared" ref="U7:U66" si="8">FLOOR(T7,"0:15")</f>
        <v>0.4375</v>
      </c>
      <c r="V7">
        <f t="shared" si="3"/>
        <v>9</v>
      </c>
      <c r="W7" s="3">
        <f t="shared" si="4"/>
        <v>0.4</v>
      </c>
      <c r="X7" s="3">
        <f t="shared" si="5"/>
        <v>9.4</v>
      </c>
    </row>
    <row r="8" spans="1:120" x14ac:dyDescent="0.2">
      <c r="A8" s="1">
        <v>0.5625</v>
      </c>
      <c r="I8" s="2"/>
      <c r="J8" s="4"/>
      <c r="K8" s="9"/>
      <c r="L8" s="9"/>
      <c r="M8" s="9"/>
      <c r="N8" s="3"/>
      <c r="Q8" s="6">
        <f t="shared" si="1"/>
        <v>0</v>
      </c>
      <c r="R8" s="7"/>
      <c r="S8" s="7"/>
      <c r="T8" s="7" t="str">
        <f t="shared" si="6"/>
        <v/>
      </c>
      <c r="U8" s="7"/>
      <c r="V8">
        <f t="shared" si="3"/>
        <v>0</v>
      </c>
      <c r="W8" s="3">
        <f t="shared" si="4"/>
        <v>0</v>
      </c>
      <c r="X8" s="3">
        <f t="shared" si="5"/>
        <v>0</v>
      </c>
    </row>
    <row r="9" spans="1:120" x14ac:dyDescent="0.2">
      <c r="A9" s="1">
        <v>0.57291666666666596</v>
      </c>
      <c r="I9" s="10" t="s">
        <v>23</v>
      </c>
      <c r="J9" s="4">
        <v>1734</v>
      </c>
      <c r="K9" s="5">
        <v>2013</v>
      </c>
      <c r="L9" s="5">
        <v>4</v>
      </c>
      <c r="M9" s="5">
        <v>24</v>
      </c>
      <c r="N9" s="3" t="str">
        <f t="shared" si="2"/>
        <v>2013,4,24</v>
      </c>
      <c r="O9" t="s">
        <v>19</v>
      </c>
      <c r="P9">
        <f t="shared" ref="P9:P16" si="9">J9/60</f>
        <v>28.9</v>
      </c>
      <c r="Q9" s="6">
        <f t="shared" si="1"/>
        <v>28.9</v>
      </c>
      <c r="R9" s="7">
        <v>0.38055555555555554</v>
      </c>
      <c r="S9" s="7">
        <f t="shared" si="7"/>
        <v>0.375</v>
      </c>
      <c r="T9" s="7">
        <f t="shared" si="6"/>
        <v>0.39999999999999997</v>
      </c>
      <c r="U9" s="7">
        <f t="shared" si="8"/>
        <v>0.39583333333333331</v>
      </c>
      <c r="V9">
        <f t="shared" si="3"/>
        <v>9</v>
      </c>
      <c r="W9" s="3">
        <f t="shared" si="4"/>
        <v>0.13333333333333333</v>
      </c>
      <c r="X9" s="3">
        <f t="shared" si="5"/>
        <v>9.1333333333333329</v>
      </c>
    </row>
    <row r="10" spans="1:120" x14ac:dyDescent="0.2">
      <c r="A10" s="1">
        <v>0.58333333333333304</v>
      </c>
      <c r="I10" s="2"/>
      <c r="J10" s="4">
        <v>1800</v>
      </c>
      <c r="K10" s="5">
        <v>2013</v>
      </c>
      <c r="L10" s="5">
        <v>4</v>
      </c>
      <c r="M10" s="5">
        <v>28</v>
      </c>
      <c r="N10" s="3" t="str">
        <f t="shared" si="2"/>
        <v>2013,4,28</v>
      </c>
      <c r="O10" t="s">
        <v>21</v>
      </c>
      <c r="P10">
        <f t="shared" si="9"/>
        <v>30</v>
      </c>
      <c r="Q10" s="6">
        <f t="shared" si="1"/>
        <v>30</v>
      </c>
      <c r="R10" s="7"/>
      <c r="S10" s="7"/>
      <c r="T10" s="7" t="str">
        <f t="shared" si="6"/>
        <v/>
      </c>
      <c r="U10" s="7"/>
      <c r="V10">
        <f t="shared" si="3"/>
        <v>0</v>
      </c>
      <c r="W10" s="3">
        <f t="shared" si="4"/>
        <v>0</v>
      </c>
      <c r="X10" s="3">
        <f t="shared" si="5"/>
        <v>0</v>
      </c>
    </row>
    <row r="11" spans="1:120" x14ac:dyDescent="0.2">
      <c r="A11" s="1">
        <v>0.59375</v>
      </c>
      <c r="I11" s="2"/>
      <c r="J11" s="4">
        <v>1796</v>
      </c>
      <c r="K11" s="5">
        <v>2013</v>
      </c>
      <c r="L11" s="5">
        <v>4</v>
      </c>
      <c r="M11" s="5">
        <v>28</v>
      </c>
      <c r="N11" s="3" t="str">
        <f t="shared" si="2"/>
        <v>2013,4,28</v>
      </c>
      <c r="O11" t="s">
        <v>21</v>
      </c>
      <c r="P11">
        <f t="shared" si="9"/>
        <v>29.933333333333334</v>
      </c>
      <c r="Q11" s="6">
        <f t="shared" si="1"/>
        <v>59.933333333333337</v>
      </c>
      <c r="R11" s="7"/>
      <c r="S11" s="7"/>
      <c r="T11" s="7" t="str">
        <f t="shared" si="6"/>
        <v/>
      </c>
      <c r="U11" s="7"/>
      <c r="V11">
        <f t="shared" si="3"/>
        <v>0</v>
      </c>
      <c r="W11" s="3">
        <f t="shared" si="4"/>
        <v>0</v>
      </c>
      <c r="X11" s="3">
        <f t="shared" si="5"/>
        <v>0</v>
      </c>
    </row>
    <row r="12" spans="1:120" x14ac:dyDescent="0.2">
      <c r="A12" s="1">
        <v>0.60416666666666596</v>
      </c>
      <c r="I12" s="2" t="s">
        <v>24</v>
      </c>
      <c r="J12" s="4">
        <v>745</v>
      </c>
      <c r="K12" s="5">
        <v>2013</v>
      </c>
      <c r="L12" s="5">
        <v>4</v>
      </c>
      <c r="M12" s="5">
        <v>28</v>
      </c>
      <c r="N12" s="3" t="str">
        <f t="shared" si="2"/>
        <v>2013,4,28</v>
      </c>
      <c r="O12" t="s">
        <v>21</v>
      </c>
      <c r="P12">
        <f t="shared" si="9"/>
        <v>12.416666666666666</v>
      </c>
      <c r="Q12" s="6">
        <f t="shared" si="1"/>
        <v>72.350000000000009</v>
      </c>
      <c r="R12" s="7">
        <v>0.38055555555555554</v>
      </c>
      <c r="S12" s="7">
        <f t="shared" si="7"/>
        <v>0.375</v>
      </c>
      <c r="T12" s="7">
        <f t="shared" si="6"/>
        <v>0.43055555555555552</v>
      </c>
      <c r="U12" s="7">
        <f t="shared" si="8"/>
        <v>0.42708333333333331</v>
      </c>
      <c r="V12">
        <f t="shared" si="3"/>
        <v>9</v>
      </c>
      <c r="W12" s="3">
        <f t="shared" si="4"/>
        <v>0.13333333333333333</v>
      </c>
      <c r="X12" s="3">
        <f t="shared" si="5"/>
        <v>9.1333333333333329</v>
      </c>
    </row>
    <row r="13" spans="1:120" x14ac:dyDescent="0.2">
      <c r="A13" s="1">
        <v>0.61458333333333304</v>
      </c>
      <c r="I13" s="2"/>
      <c r="J13" s="4">
        <v>1796</v>
      </c>
      <c r="K13" s="5">
        <v>2013</v>
      </c>
      <c r="L13" s="5">
        <v>5</v>
      </c>
      <c r="M13" s="5">
        <v>1</v>
      </c>
      <c r="N13" s="3" t="str">
        <f t="shared" si="2"/>
        <v>2013,5,1</v>
      </c>
      <c r="O13" t="s">
        <v>19</v>
      </c>
      <c r="P13">
        <f t="shared" si="9"/>
        <v>29.933333333333334</v>
      </c>
      <c r="Q13" s="6">
        <f t="shared" si="1"/>
        <v>29.933333333333334</v>
      </c>
      <c r="R13" s="7"/>
      <c r="S13" s="7"/>
      <c r="T13" s="7" t="str">
        <f t="shared" si="6"/>
        <v/>
      </c>
      <c r="U13" s="7"/>
      <c r="V13">
        <f t="shared" si="3"/>
        <v>0</v>
      </c>
      <c r="W13" s="3">
        <f t="shared" si="4"/>
        <v>0</v>
      </c>
      <c r="X13" s="3">
        <f t="shared" si="5"/>
        <v>0</v>
      </c>
    </row>
    <row r="14" spans="1:120" x14ac:dyDescent="0.2">
      <c r="A14" s="1">
        <v>0.625</v>
      </c>
      <c r="I14" s="2" t="s">
        <v>25</v>
      </c>
      <c r="J14" s="4">
        <v>1213</v>
      </c>
      <c r="K14" s="5">
        <v>2013</v>
      </c>
      <c r="L14" s="5">
        <v>5</v>
      </c>
      <c r="M14" s="5">
        <v>1</v>
      </c>
      <c r="N14" s="3" t="str">
        <f t="shared" si="2"/>
        <v>2013,5,1</v>
      </c>
      <c r="O14" t="s">
        <v>19</v>
      </c>
      <c r="P14">
        <f t="shared" si="9"/>
        <v>20.216666666666665</v>
      </c>
      <c r="Q14" s="6">
        <f t="shared" si="1"/>
        <v>50.15</v>
      </c>
      <c r="R14" s="7">
        <v>0.2673611111111111</v>
      </c>
      <c r="S14" s="7">
        <f t="shared" si="7"/>
        <v>0.26041666666666663</v>
      </c>
      <c r="T14" s="7">
        <f t="shared" si="6"/>
        <v>0.30208333333333331</v>
      </c>
      <c r="U14" s="7">
        <f t="shared" si="8"/>
        <v>0.30208333333333331</v>
      </c>
      <c r="V14">
        <f t="shared" si="3"/>
        <v>6</v>
      </c>
      <c r="W14" s="3">
        <f t="shared" si="4"/>
        <v>0.41666666666666669</v>
      </c>
      <c r="X14" s="3">
        <f t="shared" si="5"/>
        <v>6.416666666666667</v>
      </c>
    </row>
    <row r="15" spans="1:120" x14ac:dyDescent="0.2">
      <c r="A15" s="1">
        <v>0.63541666666666663</v>
      </c>
      <c r="I15" s="2"/>
      <c r="J15" s="4">
        <v>1800</v>
      </c>
      <c r="K15" s="5">
        <v>2013</v>
      </c>
      <c r="L15" s="5">
        <v>5</v>
      </c>
      <c r="M15" s="5">
        <v>4</v>
      </c>
      <c r="N15" s="3" t="str">
        <f t="shared" si="2"/>
        <v>2013,5,4</v>
      </c>
      <c r="O15" t="s">
        <v>26</v>
      </c>
      <c r="P15">
        <f t="shared" si="9"/>
        <v>30</v>
      </c>
      <c r="Q15" s="6">
        <f t="shared" si="1"/>
        <v>30</v>
      </c>
      <c r="R15" s="7"/>
      <c r="S15" s="7"/>
      <c r="T15" s="7" t="str">
        <f t="shared" si="6"/>
        <v/>
      </c>
      <c r="U15" s="7"/>
      <c r="V15">
        <f t="shared" si="3"/>
        <v>0</v>
      </c>
      <c r="W15" s="3">
        <f t="shared" si="4"/>
        <v>0</v>
      </c>
      <c r="X15" s="3">
        <f t="shared" si="5"/>
        <v>0</v>
      </c>
    </row>
    <row r="16" spans="1:120" x14ac:dyDescent="0.2">
      <c r="A16" s="1">
        <v>0.64583333333333337</v>
      </c>
      <c r="H16">
        <v>2</v>
      </c>
      <c r="I16" s="2" t="s">
        <v>27</v>
      </c>
      <c r="J16" s="4">
        <v>1800</v>
      </c>
      <c r="K16" s="5">
        <v>2013</v>
      </c>
      <c r="L16" s="5">
        <v>5</v>
      </c>
      <c r="M16" s="5">
        <v>4</v>
      </c>
      <c r="N16" s="3" t="str">
        <f t="shared" si="2"/>
        <v>2013,5,4</v>
      </c>
      <c r="O16" t="s">
        <v>26</v>
      </c>
      <c r="P16">
        <f t="shared" si="9"/>
        <v>30</v>
      </c>
      <c r="Q16" s="6">
        <f t="shared" si="1"/>
        <v>60</v>
      </c>
      <c r="R16" s="7">
        <v>0.67569444444444438</v>
      </c>
      <c r="S16" s="7">
        <f t="shared" si="7"/>
        <v>0.66666666666666663</v>
      </c>
      <c r="T16" s="7">
        <f t="shared" si="6"/>
        <v>0.71736111111111101</v>
      </c>
      <c r="U16" s="7">
        <f t="shared" si="8"/>
        <v>0.70833333333333326</v>
      </c>
      <c r="V16">
        <f t="shared" si="3"/>
        <v>16</v>
      </c>
      <c r="W16" s="3">
        <f t="shared" si="4"/>
        <v>0.21666666666666667</v>
      </c>
      <c r="X16" s="3">
        <f t="shared" si="5"/>
        <v>16.216666666666665</v>
      </c>
    </row>
    <row r="17" spans="1:24" x14ac:dyDescent="0.2">
      <c r="A17" s="1">
        <v>0.656249999999999</v>
      </c>
      <c r="H17">
        <v>2</v>
      </c>
      <c r="I17" s="2"/>
      <c r="J17" s="4"/>
      <c r="K17" s="9"/>
      <c r="L17" s="9"/>
      <c r="M17" s="9"/>
      <c r="N17" s="3"/>
      <c r="Q17" s="6">
        <f t="shared" si="1"/>
        <v>0</v>
      </c>
      <c r="R17" s="7"/>
      <c r="S17" s="7"/>
      <c r="T17" s="7" t="str">
        <f t="shared" si="6"/>
        <v/>
      </c>
      <c r="U17" s="7"/>
      <c r="V17">
        <f t="shared" si="3"/>
        <v>0</v>
      </c>
      <c r="W17" s="3">
        <f t="shared" si="4"/>
        <v>0</v>
      </c>
      <c r="X17" s="3">
        <f t="shared" si="5"/>
        <v>0</v>
      </c>
    </row>
    <row r="18" spans="1:24" x14ac:dyDescent="0.2">
      <c r="A18" s="1">
        <v>0.66666666666666596</v>
      </c>
      <c r="B18">
        <v>2</v>
      </c>
      <c r="H18">
        <v>3</v>
      </c>
      <c r="I18" s="2"/>
      <c r="J18" s="4">
        <v>1800</v>
      </c>
      <c r="K18" s="5">
        <v>2013</v>
      </c>
      <c r="L18" s="5">
        <v>5</v>
      </c>
      <c r="M18" s="5">
        <v>8</v>
      </c>
      <c r="N18" s="3" t="str">
        <f t="shared" si="2"/>
        <v>2013,5,8</v>
      </c>
      <c r="O18" t="s">
        <v>19</v>
      </c>
      <c r="P18">
        <f>J18/60</f>
        <v>30</v>
      </c>
      <c r="Q18" s="6">
        <f t="shared" si="1"/>
        <v>30</v>
      </c>
      <c r="R18" s="7"/>
      <c r="S18" s="7"/>
      <c r="T18" s="7" t="str">
        <f t="shared" si="6"/>
        <v/>
      </c>
      <c r="U18" s="7"/>
      <c r="V18">
        <f t="shared" si="3"/>
        <v>0</v>
      </c>
      <c r="W18" s="3">
        <f t="shared" si="4"/>
        <v>0</v>
      </c>
      <c r="X18" s="3">
        <f t="shared" si="5"/>
        <v>0</v>
      </c>
    </row>
    <row r="19" spans="1:24" x14ac:dyDescent="0.2">
      <c r="A19" s="1">
        <v>0.67708333333333304</v>
      </c>
      <c r="B19">
        <v>4</v>
      </c>
      <c r="H19">
        <v>4</v>
      </c>
      <c r="I19" s="2"/>
      <c r="J19" s="4">
        <v>496</v>
      </c>
      <c r="K19" s="5">
        <v>2013</v>
      </c>
      <c r="L19" s="5">
        <v>5</v>
      </c>
      <c r="M19" s="5">
        <v>8</v>
      </c>
      <c r="N19" s="3" t="str">
        <f t="shared" si="2"/>
        <v>2013,5,8</v>
      </c>
      <c r="O19" t="s">
        <v>19</v>
      </c>
      <c r="P19">
        <f>J19/60</f>
        <v>8.2666666666666675</v>
      </c>
      <c r="Q19" s="6">
        <f t="shared" si="1"/>
        <v>38.266666666666666</v>
      </c>
      <c r="R19" s="7"/>
      <c r="S19" s="7"/>
      <c r="T19" s="7" t="str">
        <f t="shared" si="6"/>
        <v/>
      </c>
      <c r="U19" s="7"/>
      <c r="V19">
        <f t="shared" si="3"/>
        <v>0</v>
      </c>
      <c r="W19" s="3">
        <f t="shared" si="4"/>
        <v>0</v>
      </c>
      <c r="X19" s="3">
        <f t="shared" si="5"/>
        <v>0</v>
      </c>
    </row>
    <row r="20" spans="1:24" x14ac:dyDescent="0.2">
      <c r="A20" s="1">
        <v>0.687499999999999</v>
      </c>
      <c r="B20">
        <v>4</v>
      </c>
      <c r="H20">
        <v>3</v>
      </c>
      <c r="I20" s="2" t="s">
        <v>28</v>
      </c>
      <c r="J20" s="4">
        <v>1392</v>
      </c>
      <c r="K20" s="5">
        <v>2013</v>
      </c>
      <c r="L20" s="5">
        <v>5</v>
      </c>
      <c r="M20" s="5">
        <v>8</v>
      </c>
      <c r="N20" s="3" t="str">
        <f t="shared" si="2"/>
        <v>2013,5,8</v>
      </c>
      <c r="O20" t="s">
        <v>19</v>
      </c>
      <c r="P20">
        <f>J20/60</f>
        <v>23.2</v>
      </c>
      <c r="Q20" s="6">
        <f t="shared" si="1"/>
        <v>61.466666666666669</v>
      </c>
      <c r="R20" s="7">
        <v>0.29236111111111113</v>
      </c>
      <c r="S20" s="7">
        <f t="shared" si="7"/>
        <v>0.29166666666666663</v>
      </c>
      <c r="T20" s="7">
        <f t="shared" si="6"/>
        <v>0.33472222222222225</v>
      </c>
      <c r="U20" s="7">
        <f t="shared" si="8"/>
        <v>0.33333333333333331</v>
      </c>
      <c r="V20">
        <f t="shared" si="3"/>
        <v>7</v>
      </c>
      <c r="W20" s="3">
        <f t="shared" si="4"/>
        <v>1.6666666666666666E-2</v>
      </c>
      <c r="X20" s="3">
        <f t="shared" si="5"/>
        <v>7.0166666666666666</v>
      </c>
    </row>
    <row r="21" spans="1:24" x14ac:dyDescent="0.2">
      <c r="A21" s="1">
        <v>0.69791666666666596</v>
      </c>
      <c r="B21">
        <v>6</v>
      </c>
      <c r="H21">
        <v>1</v>
      </c>
      <c r="I21" s="2"/>
      <c r="J21" s="4"/>
      <c r="K21" s="9"/>
      <c r="L21" s="9"/>
      <c r="M21" s="9"/>
      <c r="N21" s="3"/>
      <c r="Q21" s="6">
        <f t="shared" si="1"/>
        <v>0</v>
      </c>
      <c r="R21" s="7"/>
      <c r="S21" s="7"/>
      <c r="T21" s="7" t="str">
        <f t="shared" si="6"/>
        <v/>
      </c>
      <c r="U21" s="7"/>
      <c r="V21">
        <f t="shared" si="3"/>
        <v>0</v>
      </c>
      <c r="W21" s="3">
        <f t="shared" si="4"/>
        <v>0</v>
      </c>
      <c r="X21" s="3">
        <f t="shared" si="5"/>
        <v>0</v>
      </c>
    </row>
    <row r="22" spans="1:24" x14ac:dyDescent="0.2">
      <c r="A22" s="1">
        <v>0.70833333333333304</v>
      </c>
      <c r="B22">
        <v>6</v>
      </c>
      <c r="H22">
        <v>1</v>
      </c>
      <c r="I22" s="2"/>
      <c r="J22" s="4">
        <v>1160</v>
      </c>
      <c r="K22" s="5">
        <v>2013</v>
      </c>
      <c r="L22" s="5">
        <v>5</v>
      </c>
      <c r="M22" s="5">
        <v>12</v>
      </c>
      <c r="N22" s="3" t="str">
        <f t="shared" si="2"/>
        <v>2013,5,12</v>
      </c>
      <c r="O22" t="s">
        <v>21</v>
      </c>
      <c r="P22">
        <f>J22/60</f>
        <v>19.333333333333332</v>
      </c>
      <c r="Q22" s="6">
        <f t="shared" si="1"/>
        <v>19.333333333333332</v>
      </c>
      <c r="R22" s="7"/>
      <c r="S22" s="7"/>
      <c r="T22" s="7" t="str">
        <f t="shared" si="6"/>
        <v/>
      </c>
      <c r="U22" s="7"/>
      <c r="V22">
        <f t="shared" si="3"/>
        <v>0</v>
      </c>
      <c r="W22" s="3">
        <f t="shared" si="4"/>
        <v>0</v>
      </c>
      <c r="X22" s="3">
        <f t="shared" si="5"/>
        <v>0</v>
      </c>
    </row>
    <row r="23" spans="1:24" x14ac:dyDescent="0.2">
      <c r="A23" s="1">
        <v>0.718749999999999</v>
      </c>
      <c r="B23">
        <v>8</v>
      </c>
      <c r="E23">
        <v>1</v>
      </c>
      <c r="I23" s="2" t="s">
        <v>29</v>
      </c>
      <c r="J23" s="4">
        <v>578</v>
      </c>
      <c r="K23" s="5">
        <v>2013</v>
      </c>
      <c r="L23" s="5">
        <v>5</v>
      </c>
      <c r="M23" s="5">
        <v>12</v>
      </c>
      <c r="N23" s="3" t="str">
        <f t="shared" si="2"/>
        <v>2013,5,12</v>
      </c>
      <c r="O23" t="s">
        <v>21</v>
      </c>
      <c r="P23">
        <f>J23/60</f>
        <v>9.6333333333333329</v>
      </c>
      <c r="Q23" s="6">
        <f t="shared" si="1"/>
        <v>28.966666666666665</v>
      </c>
      <c r="R23" s="7">
        <v>0.70416666666666661</v>
      </c>
      <c r="S23" s="7">
        <f t="shared" si="7"/>
        <v>0.69791666666666663</v>
      </c>
      <c r="T23" s="7">
        <f t="shared" si="6"/>
        <v>0.72361111111111109</v>
      </c>
      <c r="U23" s="7">
        <f t="shared" si="8"/>
        <v>0.71875</v>
      </c>
      <c r="V23">
        <f t="shared" si="3"/>
        <v>16</v>
      </c>
      <c r="W23" s="3">
        <f t="shared" si="4"/>
        <v>0.9</v>
      </c>
      <c r="X23" s="3">
        <f t="shared" si="5"/>
        <v>16.899999999999999</v>
      </c>
    </row>
    <row r="24" spans="1:24" x14ac:dyDescent="0.2">
      <c r="A24" s="1">
        <v>0.72916666666666596</v>
      </c>
      <c r="B24">
        <v>4</v>
      </c>
      <c r="E24">
        <v>1</v>
      </c>
      <c r="I24" s="2"/>
      <c r="J24" s="4">
        <v>1800</v>
      </c>
      <c r="K24" s="5">
        <v>2013</v>
      </c>
      <c r="L24" s="5">
        <v>5</v>
      </c>
      <c r="M24" s="5">
        <v>15</v>
      </c>
      <c r="N24" s="3" t="str">
        <f t="shared" si="2"/>
        <v>2013,5,15</v>
      </c>
      <c r="O24" t="s">
        <v>19</v>
      </c>
      <c r="P24">
        <f>J24/60</f>
        <v>30</v>
      </c>
      <c r="Q24" s="6">
        <f t="shared" si="1"/>
        <v>30</v>
      </c>
      <c r="R24" s="7"/>
      <c r="S24" s="7"/>
      <c r="T24" s="7" t="str">
        <f t="shared" si="6"/>
        <v/>
      </c>
      <c r="U24" s="7"/>
      <c r="V24">
        <f t="shared" si="3"/>
        <v>0</v>
      </c>
      <c r="W24" s="3">
        <f t="shared" si="4"/>
        <v>0</v>
      </c>
      <c r="X24" s="3">
        <f t="shared" si="5"/>
        <v>0</v>
      </c>
    </row>
    <row r="25" spans="1:24" x14ac:dyDescent="0.2">
      <c r="A25" s="1">
        <v>0.73958333333333204</v>
      </c>
      <c r="B25">
        <v>4</v>
      </c>
      <c r="E25">
        <v>1</v>
      </c>
      <c r="I25" s="2" t="s">
        <v>30</v>
      </c>
      <c r="J25" s="4">
        <v>1453</v>
      </c>
      <c r="K25" s="5">
        <v>2013</v>
      </c>
      <c r="L25" s="5">
        <v>5</v>
      </c>
      <c r="M25" s="5">
        <v>15</v>
      </c>
      <c r="N25" s="3" t="str">
        <f t="shared" si="2"/>
        <v>2013,5,15</v>
      </c>
      <c r="O25" t="s">
        <v>19</v>
      </c>
      <c r="P25">
        <f>J25/60</f>
        <v>24.216666666666665</v>
      </c>
      <c r="Q25" s="6">
        <f t="shared" si="1"/>
        <v>54.216666666666669</v>
      </c>
      <c r="R25" s="7">
        <v>0.26250000000000001</v>
      </c>
      <c r="S25" s="7">
        <f t="shared" si="7"/>
        <v>0.26041666666666663</v>
      </c>
      <c r="T25" s="7">
        <f t="shared" si="6"/>
        <v>0.3</v>
      </c>
      <c r="U25" s="7">
        <f t="shared" si="8"/>
        <v>0.29166666666666663</v>
      </c>
      <c r="V25">
        <f t="shared" si="3"/>
        <v>6</v>
      </c>
      <c r="W25" s="3">
        <f t="shared" si="4"/>
        <v>0.3</v>
      </c>
      <c r="X25" s="3">
        <f t="shared" si="5"/>
        <v>6.3</v>
      </c>
    </row>
    <row r="26" spans="1:24" x14ac:dyDescent="0.2">
      <c r="A26" s="1">
        <v>0.749999999999999</v>
      </c>
      <c r="B26">
        <v>4</v>
      </c>
      <c r="I26" s="2"/>
      <c r="J26" s="4"/>
      <c r="K26" s="9"/>
      <c r="L26" s="9"/>
      <c r="M26" s="9"/>
      <c r="N26" s="3"/>
      <c r="Q26" s="6"/>
      <c r="R26" s="7"/>
      <c r="S26" s="7"/>
      <c r="T26" s="7" t="str">
        <f t="shared" si="6"/>
        <v/>
      </c>
      <c r="U26" s="7"/>
      <c r="V26">
        <f t="shared" si="3"/>
        <v>0</v>
      </c>
      <c r="W26" s="3">
        <f t="shared" si="4"/>
        <v>0</v>
      </c>
      <c r="X26" s="3">
        <f t="shared" si="5"/>
        <v>0</v>
      </c>
    </row>
    <row r="27" spans="1:24" x14ac:dyDescent="0.2">
      <c r="A27" s="1">
        <v>0.76041666666666596</v>
      </c>
      <c r="B27">
        <v>2</v>
      </c>
      <c r="I27" s="2"/>
      <c r="J27" s="4">
        <v>1085</v>
      </c>
      <c r="K27" s="5">
        <v>2013</v>
      </c>
      <c r="L27" s="5">
        <v>5</v>
      </c>
      <c r="M27" s="5">
        <v>19</v>
      </c>
      <c r="N27" s="3" t="str">
        <f t="shared" si="2"/>
        <v>2013,5,19</v>
      </c>
      <c r="O27" t="s">
        <v>21</v>
      </c>
      <c r="P27">
        <f>J27/60</f>
        <v>18.083333333333332</v>
      </c>
      <c r="Q27" s="6">
        <f>IF(O26=O27, Q26+P27,P27)</f>
        <v>18.083333333333332</v>
      </c>
      <c r="R27" s="7"/>
      <c r="S27" s="7"/>
      <c r="T27" s="7" t="str">
        <f t="shared" si="6"/>
        <v/>
      </c>
      <c r="U27" s="7"/>
      <c r="V27">
        <f t="shared" si="3"/>
        <v>0</v>
      </c>
      <c r="W27" s="3">
        <f t="shared" si="4"/>
        <v>0</v>
      </c>
      <c r="X27" s="3">
        <f t="shared" si="5"/>
        <v>0</v>
      </c>
    </row>
    <row r="28" spans="1:24" x14ac:dyDescent="0.2">
      <c r="A28" s="1">
        <v>0.77083333333333337</v>
      </c>
      <c r="I28" s="2"/>
      <c r="J28" s="4">
        <v>1623</v>
      </c>
      <c r="K28" s="5">
        <v>2013</v>
      </c>
      <c r="L28" s="5">
        <v>5</v>
      </c>
      <c r="M28" s="5">
        <v>19</v>
      </c>
      <c r="N28" s="3" t="str">
        <f t="shared" si="2"/>
        <v>2013,5,19</v>
      </c>
      <c r="O28" t="s">
        <v>21</v>
      </c>
      <c r="P28">
        <f>J28/60</f>
        <v>27.05</v>
      </c>
      <c r="Q28" s="6">
        <f>IF(O27=O28, Q27+P28,P28)</f>
        <v>45.133333333333333</v>
      </c>
      <c r="R28" s="7"/>
      <c r="S28" s="7"/>
      <c r="T28" s="7" t="str">
        <f t="shared" si="6"/>
        <v/>
      </c>
      <c r="U28" s="7"/>
      <c r="V28">
        <f t="shared" si="3"/>
        <v>0</v>
      </c>
      <c r="W28" s="3">
        <f t="shared" si="4"/>
        <v>0</v>
      </c>
      <c r="X28" s="3">
        <f t="shared" si="5"/>
        <v>0</v>
      </c>
    </row>
    <row r="29" spans="1:24" x14ac:dyDescent="0.2">
      <c r="A29" s="1">
        <v>0.781249999999999</v>
      </c>
      <c r="I29" s="2" t="s">
        <v>31</v>
      </c>
      <c r="J29" s="4">
        <v>1291</v>
      </c>
      <c r="K29" s="5">
        <v>2013</v>
      </c>
      <c r="L29" s="5">
        <v>5</v>
      </c>
      <c r="M29" s="5">
        <v>19</v>
      </c>
      <c r="N29" s="3" t="str">
        <f t="shared" si="2"/>
        <v>2013,5,19</v>
      </c>
      <c r="O29" t="s">
        <v>21</v>
      </c>
      <c r="P29">
        <f>J29/60</f>
        <v>21.516666666666666</v>
      </c>
      <c r="Q29" s="6">
        <f>IF(O28=O29, Q28+P29,P29)</f>
        <v>66.650000000000006</v>
      </c>
      <c r="R29" s="7">
        <v>0.36249999999999999</v>
      </c>
      <c r="S29" s="7">
        <f t="shared" si="7"/>
        <v>0.35416666666666663</v>
      </c>
      <c r="T29" s="7">
        <f t="shared" si="6"/>
        <v>0.40833333333333333</v>
      </c>
      <c r="U29" s="7">
        <f t="shared" si="8"/>
        <v>0.40625</v>
      </c>
      <c r="V29">
        <f t="shared" si="3"/>
        <v>8</v>
      </c>
      <c r="W29" s="3">
        <f t="shared" si="4"/>
        <v>0.7</v>
      </c>
      <c r="X29" s="3">
        <f t="shared" si="5"/>
        <v>8.6999999999999993</v>
      </c>
    </row>
    <row r="30" spans="1:24" x14ac:dyDescent="0.2">
      <c r="A30" s="1">
        <v>0.79166666666666596</v>
      </c>
      <c r="I30" s="2"/>
      <c r="J30" s="4"/>
      <c r="K30" s="9"/>
      <c r="L30" s="9"/>
      <c r="M30" s="9"/>
      <c r="N30" s="3"/>
      <c r="Q30" s="6"/>
      <c r="R30" s="7"/>
      <c r="S30" s="7"/>
      <c r="T30" s="7" t="str">
        <f t="shared" si="6"/>
        <v/>
      </c>
      <c r="U30" s="7"/>
      <c r="V30">
        <f t="shared" si="3"/>
        <v>0</v>
      </c>
      <c r="W30" s="3">
        <f t="shared" si="4"/>
        <v>0</v>
      </c>
      <c r="X30" s="3">
        <f t="shared" si="5"/>
        <v>0</v>
      </c>
    </row>
    <row r="31" spans="1:24" x14ac:dyDescent="0.2">
      <c r="A31" s="1">
        <v>0.80208333333333204</v>
      </c>
      <c r="I31" s="2"/>
      <c r="J31" s="4">
        <v>412</v>
      </c>
      <c r="K31" s="5">
        <v>2013</v>
      </c>
      <c r="L31" s="5">
        <v>5</v>
      </c>
      <c r="M31" s="5">
        <v>22</v>
      </c>
      <c r="N31" s="3" t="str">
        <f t="shared" si="2"/>
        <v>2013,5,22</v>
      </c>
      <c r="O31" t="s">
        <v>19</v>
      </c>
      <c r="P31">
        <f t="shared" ref="P31:P50" si="10">J31/60</f>
        <v>6.8666666666666663</v>
      </c>
      <c r="Q31" s="6">
        <f>IF(O30=O31, Q30+P31,P31)</f>
        <v>6.8666666666666663</v>
      </c>
      <c r="R31" s="7"/>
      <c r="S31" s="7"/>
      <c r="T31" s="7" t="str">
        <f t="shared" si="6"/>
        <v/>
      </c>
      <c r="U31" s="7"/>
      <c r="V31">
        <f t="shared" si="3"/>
        <v>0</v>
      </c>
      <c r="W31" s="3">
        <f t="shared" si="4"/>
        <v>0</v>
      </c>
      <c r="X31" s="3">
        <f t="shared" si="5"/>
        <v>0</v>
      </c>
    </row>
    <row r="32" spans="1:24" x14ac:dyDescent="0.2">
      <c r="A32" s="1">
        <v>0.812499999999999</v>
      </c>
      <c r="I32" s="2"/>
      <c r="J32" s="4">
        <v>819</v>
      </c>
      <c r="K32" s="5">
        <v>2013</v>
      </c>
      <c r="L32" s="5">
        <v>5</v>
      </c>
      <c r="M32" s="5">
        <v>22</v>
      </c>
      <c r="N32" s="3" t="str">
        <f t="shared" si="2"/>
        <v>2013,5,22</v>
      </c>
      <c r="O32" t="s">
        <v>19</v>
      </c>
      <c r="P32">
        <f t="shared" si="10"/>
        <v>13.65</v>
      </c>
      <c r="Q32" s="6">
        <f>IF(O31=O32, Q31+P32,P32)</f>
        <v>20.516666666666666</v>
      </c>
      <c r="R32" s="7"/>
      <c r="S32" s="7"/>
      <c r="T32" s="7" t="str">
        <f t="shared" si="6"/>
        <v/>
      </c>
      <c r="U32" s="7"/>
      <c r="V32">
        <f t="shared" si="3"/>
        <v>0</v>
      </c>
      <c r="W32" s="3">
        <f t="shared" si="4"/>
        <v>0</v>
      </c>
      <c r="X32" s="3">
        <f t="shared" si="5"/>
        <v>0</v>
      </c>
    </row>
    <row r="33" spans="1:24" x14ac:dyDescent="0.2">
      <c r="A33" s="1">
        <v>0.82291666666666596</v>
      </c>
      <c r="I33" s="2"/>
      <c r="J33" s="4">
        <v>231</v>
      </c>
      <c r="K33" s="5">
        <v>2013</v>
      </c>
      <c r="L33" s="5">
        <v>5</v>
      </c>
      <c r="M33" s="5">
        <v>22</v>
      </c>
      <c r="N33" s="3" t="str">
        <f t="shared" si="2"/>
        <v>2013,5,22</v>
      </c>
      <c r="O33" t="s">
        <v>19</v>
      </c>
      <c r="P33">
        <f t="shared" si="10"/>
        <v>3.85</v>
      </c>
      <c r="Q33" s="6">
        <f>IF(O32=O33, Q32+P33,P33)</f>
        <v>24.366666666666667</v>
      </c>
      <c r="R33" s="7"/>
      <c r="S33" s="7"/>
      <c r="T33" s="7" t="str">
        <f t="shared" si="6"/>
        <v/>
      </c>
      <c r="U33" s="7"/>
      <c r="V33">
        <f t="shared" si="3"/>
        <v>0</v>
      </c>
      <c r="W33" s="3">
        <f t="shared" si="4"/>
        <v>0</v>
      </c>
      <c r="X33" s="3">
        <f t="shared" si="5"/>
        <v>0</v>
      </c>
    </row>
    <row r="34" spans="1:24" x14ac:dyDescent="0.2">
      <c r="A34" s="1">
        <v>0.83333333333333204</v>
      </c>
      <c r="I34" s="2"/>
      <c r="J34" s="4">
        <v>661</v>
      </c>
      <c r="K34" s="5">
        <v>2013</v>
      </c>
      <c r="L34" s="5">
        <v>5</v>
      </c>
      <c r="M34" s="5">
        <v>22</v>
      </c>
      <c r="N34" s="3" t="str">
        <f t="shared" si="2"/>
        <v>2013,5,22</v>
      </c>
      <c r="O34" t="s">
        <v>19</v>
      </c>
      <c r="P34">
        <f t="shared" si="10"/>
        <v>11.016666666666667</v>
      </c>
      <c r="Q34" s="6">
        <f t="shared" ref="Q34:Q97" si="11">IF(O33=O34, Q33+P34,P34)</f>
        <v>35.383333333333333</v>
      </c>
      <c r="R34" s="7"/>
      <c r="S34" s="7"/>
      <c r="T34" s="7" t="str">
        <f t="shared" si="6"/>
        <v/>
      </c>
      <c r="U34" s="7"/>
      <c r="V34">
        <f t="shared" si="3"/>
        <v>0</v>
      </c>
      <c r="W34" s="3">
        <f t="shared" si="4"/>
        <v>0</v>
      </c>
      <c r="X34" s="3">
        <f t="shared" si="5"/>
        <v>0</v>
      </c>
    </row>
    <row r="35" spans="1:24" x14ac:dyDescent="0.2">
      <c r="A35" s="1">
        <v>0.843749999999999</v>
      </c>
      <c r="I35" s="2"/>
      <c r="J35" s="4">
        <v>273</v>
      </c>
      <c r="K35" s="5">
        <v>2013</v>
      </c>
      <c r="L35" s="5">
        <v>5</v>
      </c>
      <c r="M35" s="5">
        <v>22</v>
      </c>
      <c r="N35" s="3" t="str">
        <f t="shared" si="2"/>
        <v>2013,5,22</v>
      </c>
      <c r="O35" t="s">
        <v>19</v>
      </c>
      <c r="P35">
        <f t="shared" si="10"/>
        <v>4.55</v>
      </c>
      <c r="Q35" s="6">
        <f t="shared" si="11"/>
        <v>39.93333333333333</v>
      </c>
      <c r="R35" s="7"/>
      <c r="S35" s="7"/>
      <c r="T35" s="7" t="str">
        <f t="shared" si="6"/>
        <v/>
      </c>
      <c r="U35" s="7"/>
      <c r="V35">
        <f t="shared" si="3"/>
        <v>0</v>
      </c>
      <c r="W35" s="3">
        <f t="shared" si="4"/>
        <v>0</v>
      </c>
      <c r="X35" s="3">
        <f t="shared" si="5"/>
        <v>0</v>
      </c>
    </row>
    <row r="36" spans="1:24" x14ac:dyDescent="0.2">
      <c r="A36" s="1">
        <v>0.85416666666666496</v>
      </c>
      <c r="I36" s="2"/>
      <c r="J36" s="4">
        <v>454</v>
      </c>
      <c r="K36" s="5">
        <v>2013</v>
      </c>
      <c r="L36" s="5">
        <v>5</v>
      </c>
      <c r="M36" s="5">
        <v>22</v>
      </c>
      <c r="N36" s="3" t="str">
        <f t="shared" si="2"/>
        <v>2013,5,22</v>
      </c>
      <c r="O36" t="s">
        <v>19</v>
      </c>
      <c r="P36">
        <f t="shared" si="10"/>
        <v>7.5666666666666664</v>
      </c>
      <c r="Q36" s="6">
        <f t="shared" si="11"/>
        <v>47.5</v>
      </c>
      <c r="R36" s="7"/>
      <c r="S36" s="7"/>
      <c r="T36" s="7" t="str">
        <f t="shared" si="6"/>
        <v/>
      </c>
      <c r="U36" s="7"/>
      <c r="V36">
        <f t="shared" si="3"/>
        <v>0</v>
      </c>
      <c r="W36" s="3">
        <f t="shared" si="4"/>
        <v>0</v>
      </c>
      <c r="X36" s="3">
        <f t="shared" si="5"/>
        <v>0</v>
      </c>
    </row>
    <row r="37" spans="1:24" x14ac:dyDescent="0.2">
      <c r="A37" s="1">
        <v>0.86458333333333204</v>
      </c>
      <c r="I37" s="2"/>
      <c r="J37" s="4">
        <v>322</v>
      </c>
      <c r="K37" s="5">
        <v>2013</v>
      </c>
      <c r="L37" s="5">
        <v>5</v>
      </c>
      <c r="M37" s="5">
        <v>22</v>
      </c>
      <c r="N37" s="3" t="str">
        <f t="shared" si="2"/>
        <v>2013,5,22</v>
      </c>
      <c r="O37" t="s">
        <v>19</v>
      </c>
      <c r="P37">
        <f t="shared" si="10"/>
        <v>5.3666666666666663</v>
      </c>
      <c r="Q37" s="6">
        <f t="shared" si="11"/>
        <v>52.866666666666667</v>
      </c>
      <c r="R37" s="7"/>
      <c r="S37" s="7"/>
      <c r="T37" s="7" t="str">
        <f t="shared" si="6"/>
        <v/>
      </c>
      <c r="U37" s="7"/>
      <c r="V37">
        <f t="shared" si="3"/>
        <v>0</v>
      </c>
      <c r="W37" s="3">
        <f t="shared" si="4"/>
        <v>0</v>
      </c>
      <c r="X37" s="3">
        <f t="shared" si="5"/>
        <v>0</v>
      </c>
    </row>
    <row r="38" spans="1:24" x14ac:dyDescent="0.2">
      <c r="A38" s="1">
        <v>0.874999999999999</v>
      </c>
      <c r="I38" s="2" t="s">
        <v>32</v>
      </c>
      <c r="J38" s="4">
        <v>77</v>
      </c>
      <c r="K38" s="5">
        <v>2013</v>
      </c>
      <c r="L38" s="5">
        <v>5</v>
      </c>
      <c r="M38" s="5">
        <v>22</v>
      </c>
      <c r="N38" s="3" t="str">
        <f t="shared" si="2"/>
        <v>2013,5,22</v>
      </c>
      <c r="O38" t="s">
        <v>19</v>
      </c>
      <c r="P38">
        <f t="shared" si="10"/>
        <v>1.2833333333333334</v>
      </c>
      <c r="Q38" s="6">
        <f t="shared" si="11"/>
        <v>54.15</v>
      </c>
      <c r="R38" s="7">
        <v>0.27361111111111108</v>
      </c>
      <c r="S38" s="7">
        <f t="shared" si="7"/>
        <v>0.27083333333333331</v>
      </c>
      <c r="T38" s="7">
        <f t="shared" si="6"/>
        <v>0.31111111111111106</v>
      </c>
      <c r="U38" s="7">
        <f t="shared" si="8"/>
        <v>0.30208333333333331</v>
      </c>
      <c r="V38">
        <f t="shared" si="3"/>
        <v>6</v>
      </c>
      <c r="W38" s="3">
        <f t="shared" si="4"/>
        <v>0.56666666666666665</v>
      </c>
      <c r="X38" s="3">
        <f t="shared" si="5"/>
        <v>6.5666666666666664</v>
      </c>
    </row>
    <row r="39" spans="1:24" x14ac:dyDescent="0.2">
      <c r="A39" s="1">
        <v>0.88541666666666496</v>
      </c>
      <c r="I39" s="2"/>
      <c r="J39" s="4">
        <v>662</v>
      </c>
      <c r="K39" s="5">
        <v>2013</v>
      </c>
      <c r="L39" s="5">
        <v>5</v>
      </c>
      <c r="M39" s="5">
        <v>26</v>
      </c>
      <c r="N39" s="3" t="str">
        <f t="shared" si="2"/>
        <v>2013,5,26</v>
      </c>
      <c r="O39" t="s">
        <v>21</v>
      </c>
      <c r="P39">
        <f t="shared" si="10"/>
        <v>11.033333333333333</v>
      </c>
      <c r="Q39" s="6">
        <f t="shared" si="11"/>
        <v>11.033333333333333</v>
      </c>
      <c r="R39" s="7"/>
      <c r="S39" s="7"/>
      <c r="T39" s="7" t="str">
        <f t="shared" si="6"/>
        <v/>
      </c>
      <c r="U39" s="7"/>
      <c r="V39">
        <f t="shared" si="3"/>
        <v>0</v>
      </c>
      <c r="W39" s="3">
        <f t="shared" si="4"/>
        <v>0</v>
      </c>
      <c r="X39" s="3">
        <f t="shared" si="5"/>
        <v>0</v>
      </c>
    </row>
    <row r="40" spans="1:24" x14ac:dyDescent="0.2">
      <c r="A40" s="1">
        <v>0.89583333333333204</v>
      </c>
      <c r="I40" s="2"/>
      <c r="J40" s="4">
        <v>458</v>
      </c>
      <c r="K40" s="5">
        <v>2013</v>
      </c>
      <c r="L40" s="5">
        <v>5</v>
      </c>
      <c r="M40" s="5">
        <v>26</v>
      </c>
      <c r="N40" s="3" t="str">
        <f t="shared" si="2"/>
        <v>2013,5,26</v>
      </c>
      <c r="O40" t="s">
        <v>21</v>
      </c>
      <c r="P40">
        <f t="shared" si="10"/>
        <v>7.6333333333333337</v>
      </c>
      <c r="Q40" s="6">
        <f t="shared" si="11"/>
        <v>18.666666666666668</v>
      </c>
      <c r="R40" s="7"/>
      <c r="S40" s="7"/>
      <c r="T40" s="7" t="str">
        <f t="shared" si="6"/>
        <v/>
      </c>
      <c r="U40" s="7"/>
      <c r="V40">
        <f t="shared" si="3"/>
        <v>0</v>
      </c>
      <c r="W40" s="3">
        <f t="shared" si="4"/>
        <v>0</v>
      </c>
      <c r="X40" s="3">
        <f t="shared" si="5"/>
        <v>0</v>
      </c>
    </row>
    <row r="41" spans="1:24" x14ac:dyDescent="0.2">
      <c r="A41" s="1">
        <v>0.906249999999999</v>
      </c>
      <c r="I41" s="2"/>
      <c r="J41" s="4">
        <v>403</v>
      </c>
      <c r="K41" s="5">
        <v>2013</v>
      </c>
      <c r="L41" s="5">
        <v>5</v>
      </c>
      <c r="M41" s="5">
        <v>26</v>
      </c>
      <c r="N41" s="3" t="str">
        <f t="shared" si="2"/>
        <v>2013,5,26</v>
      </c>
      <c r="O41" t="s">
        <v>21</v>
      </c>
      <c r="P41">
        <f t="shared" si="10"/>
        <v>6.7166666666666668</v>
      </c>
      <c r="Q41" s="6">
        <f t="shared" si="11"/>
        <v>25.383333333333333</v>
      </c>
      <c r="R41" s="7"/>
      <c r="S41" s="7"/>
      <c r="T41" s="7" t="str">
        <f t="shared" si="6"/>
        <v/>
      </c>
      <c r="U41" s="7"/>
      <c r="V41">
        <f t="shared" si="3"/>
        <v>0</v>
      </c>
      <c r="W41" s="3">
        <f t="shared" si="4"/>
        <v>0</v>
      </c>
      <c r="X41" s="3">
        <f t="shared" si="5"/>
        <v>0</v>
      </c>
    </row>
    <row r="42" spans="1:24" x14ac:dyDescent="0.2">
      <c r="A42" s="1">
        <v>0.91666666666666496</v>
      </c>
      <c r="I42" s="2"/>
      <c r="J42" s="4">
        <v>609</v>
      </c>
      <c r="K42" s="5">
        <v>2013</v>
      </c>
      <c r="L42" s="5">
        <v>5</v>
      </c>
      <c r="M42" s="5">
        <v>26</v>
      </c>
      <c r="N42" s="3" t="str">
        <f t="shared" si="2"/>
        <v>2013,5,26</v>
      </c>
      <c r="O42" t="s">
        <v>21</v>
      </c>
      <c r="P42">
        <f t="shared" si="10"/>
        <v>10.15</v>
      </c>
      <c r="Q42" s="6">
        <f t="shared" si="11"/>
        <v>35.533333333333331</v>
      </c>
      <c r="R42" s="7"/>
      <c r="S42" s="7"/>
      <c r="T42" s="7" t="str">
        <f t="shared" si="6"/>
        <v/>
      </c>
      <c r="U42" s="7"/>
      <c r="V42">
        <f t="shared" si="3"/>
        <v>0</v>
      </c>
      <c r="W42" s="3">
        <f t="shared" si="4"/>
        <v>0</v>
      </c>
      <c r="X42" s="3">
        <f t="shared" si="5"/>
        <v>0</v>
      </c>
    </row>
    <row r="43" spans="1:24" x14ac:dyDescent="0.2">
      <c r="A43" s="1">
        <v>0.92708333333333204</v>
      </c>
      <c r="I43" s="2"/>
      <c r="J43" s="4">
        <v>537</v>
      </c>
      <c r="K43" s="5">
        <v>2013</v>
      </c>
      <c r="L43" s="5">
        <v>5</v>
      </c>
      <c r="M43" s="5">
        <v>26</v>
      </c>
      <c r="N43" s="3" t="str">
        <f t="shared" si="2"/>
        <v>2013,5,26</v>
      </c>
      <c r="O43" t="s">
        <v>21</v>
      </c>
      <c r="P43">
        <f t="shared" si="10"/>
        <v>8.9499999999999993</v>
      </c>
      <c r="Q43" s="6">
        <f t="shared" si="11"/>
        <v>44.483333333333334</v>
      </c>
      <c r="R43" s="7"/>
      <c r="S43" s="7"/>
      <c r="T43" s="7" t="str">
        <f t="shared" si="6"/>
        <v/>
      </c>
      <c r="U43" s="7"/>
      <c r="V43">
        <f t="shared" si="3"/>
        <v>0</v>
      </c>
      <c r="W43" s="3">
        <f t="shared" si="4"/>
        <v>0</v>
      </c>
      <c r="X43" s="3">
        <f t="shared" si="5"/>
        <v>0</v>
      </c>
    </row>
    <row r="44" spans="1:24" x14ac:dyDescent="0.2">
      <c r="A44" s="1">
        <v>0.937499999999998</v>
      </c>
      <c r="I44" s="2"/>
      <c r="J44" s="4">
        <v>231</v>
      </c>
      <c r="K44" s="5">
        <v>2013</v>
      </c>
      <c r="L44" s="5">
        <v>5</v>
      </c>
      <c r="M44" s="5">
        <v>26</v>
      </c>
      <c r="N44" s="3" t="str">
        <f t="shared" si="2"/>
        <v>2013,5,26</v>
      </c>
      <c r="O44" t="s">
        <v>21</v>
      </c>
      <c r="P44">
        <f t="shared" si="10"/>
        <v>3.85</v>
      </c>
      <c r="Q44" s="6">
        <f t="shared" si="11"/>
        <v>48.333333333333336</v>
      </c>
      <c r="R44" s="7"/>
      <c r="S44" s="7"/>
      <c r="T44" s="7" t="str">
        <f t="shared" si="6"/>
        <v/>
      </c>
      <c r="U44" s="7"/>
      <c r="V44">
        <f t="shared" si="3"/>
        <v>0</v>
      </c>
      <c r="W44" s="3">
        <f t="shared" si="4"/>
        <v>0</v>
      </c>
      <c r="X44" s="3">
        <f t="shared" si="5"/>
        <v>0</v>
      </c>
    </row>
    <row r="45" spans="1:24" x14ac:dyDescent="0.2">
      <c r="A45" s="1">
        <v>0.94791666666666496</v>
      </c>
      <c r="I45" s="2"/>
      <c r="J45" s="4">
        <v>659</v>
      </c>
      <c r="K45" s="5">
        <v>2013</v>
      </c>
      <c r="L45" s="5">
        <v>5</v>
      </c>
      <c r="M45" s="5">
        <v>26</v>
      </c>
      <c r="N45" s="3" t="str">
        <f t="shared" si="2"/>
        <v>2013,5,26</v>
      </c>
      <c r="O45" t="s">
        <v>21</v>
      </c>
      <c r="P45">
        <f t="shared" si="10"/>
        <v>10.983333333333333</v>
      </c>
      <c r="Q45" s="6">
        <f t="shared" si="11"/>
        <v>59.31666666666667</v>
      </c>
      <c r="R45" s="7"/>
      <c r="S45" s="7"/>
      <c r="T45" s="7" t="str">
        <f t="shared" si="6"/>
        <v/>
      </c>
      <c r="U45" s="7"/>
      <c r="V45">
        <f t="shared" si="3"/>
        <v>0</v>
      </c>
      <c r="W45" s="3">
        <f t="shared" si="4"/>
        <v>0</v>
      </c>
      <c r="X45" s="3">
        <f t="shared" si="5"/>
        <v>0</v>
      </c>
    </row>
    <row r="46" spans="1:24" x14ac:dyDescent="0.2">
      <c r="A46" s="1">
        <v>0.95833333333333204</v>
      </c>
      <c r="I46" s="2" t="s">
        <v>33</v>
      </c>
      <c r="J46" s="4">
        <v>102</v>
      </c>
      <c r="K46" s="5">
        <v>2013</v>
      </c>
      <c r="L46" s="5">
        <v>5</v>
      </c>
      <c r="M46" s="5">
        <v>26</v>
      </c>
      <c r="N46" s="3" t="str">
        <f t="shared" si="2"/>
        <v>2013,5,26</v>
      </c>
      <c r="O46" t="s">
        <v>21</v>
      </c>
      <c r="P46">
        <f t="shared" si="10"/>
        <v>1.7</v>
      </c>
      <c r="Q46" s="6">
        <f t="shared" si="11"/>
        <v>61.016666666666673</v>
      </c>
      <c r="R46" s="7">
        <v>0.37916666666666665</v>
      </c>
      <c r="S46" s="7">
        <f t="shared" si="7"/>
        <v>0.375</v>
      </c>
      <c r="T46" s="7">
        <f t="shared" si="6"/>
        <v>0.42152777777777778</v>
      </c>
      <c r="U46" s="7">
        <f t="shared" si="8"/>
        <v>0.41666666666666663</v>
      </c>
      <c r="V46">
        <f t="shared" si="3"/>
        <v>9</v>
      </c>
      <c r="W46" s="3">
        <f t="shared" si="4"/>
        <v>0.1</v>
      </c>
      <c r="X46" s="3">
        <f t="shared" si="5"/>
        <v>9.1</v>
      </c>
    </row>
    <row r="47" spans="1:24" x14ac:dyDescent="0.2">
      <c r="A47" s="1">
        <v>0.968749999999998</v>
      </c>
      <c r="I47" s="2"/>
      <c r="J47" s="4">
        <v>591</v>
      </c>
      <c r="K47" s="5">
        <v>2013</v>
      </c>
      <c r="L47" s="5">
        <v>5</v>
      </c>
      <c r="M47" s="5">
        <v>29</v>
      </c>
      <c r="N47" s="3" t="str">
        <f t="shared" si="2"/>
        <v>2013,5,29</v>
      </c>
      <c r="O47" t="s">
        <v>19</v>
      </c>
      <c r="P47">
        <f t="shared" si="10"/>
        <v>9.85</v>
      </c>
      <c r="Q47" s="6">
        <f t="shared" si="11"/>
        <v>9.85</v>
      </c>
      <c r="R47" s="7"/>
      <c r="S47" s="7"/>
      <c r="T47" s="7" t="str">
        <f t="shared" si="6"/>
        <v/>
      </c>
      <c r="U47" s="7"/>
      <c r="V47">
        <f t="shared" si="3"/>
        <v>0</v>
      </c>
      <c r="W47" s="3">
        <f t="shared" si="4"/>
        <v>0</v>
      </c>
      <c r="X47" s="3">
        <f t="shared" si="5"/>
        <v>0</v>
      </c>
    </row>
    <row r="48" spans="1:24" x14ac:dyDescent="0.2">
      <c r="A48" s="1">
        <v>0.97916666666666496</v>
      </c>
      <c r="I48" s="2"/>
      <c r="J48" s="4">
        <v>713</v>
      </c>
      <c r="K48" s="5">
        <v>2013</v>
      </c>
      <c r="L48" s="5">
        <v>5</v>
      </c>
      <c r="M48" s="5">
        <v>29</v>
      </c>
      <c r="N48" s="3" t="str">
        <f t="shared" si="2"/>
        <v>2013,5,29</v>
      </c>
      <c r="O48" t="s">
        <v>19</v>
      </c>
      <c r="P48">
        <f t="shared" si="10"/>
        <v>11.883333333333333</v>
      </c>
      <c r="Q48" s="6">
        <f t="shared" si="11"/>
        <v>21.733333333333334</v>
      </c>
      <c r="R48" s="7"/>
      <c r="S48" s="7"/>
      <c r="T48" s="7" t="str">
        <f t="shared" si="6"/>
        <v/>
      </c>
      <c r="U48" s="7"/>
      <c r="V48">
        <f t="shared" si="3"/>
        <v>0</v>
      </c>
      <c r="W48" s="3">
        <f t="shared" si="4"/>
        <v>0</v>
      </c>
      <c r="X48" s="3">
        <f t="shared" si="5"/>
        <v>0</v>
      </c>
    </row>
    <row r="49" spans="1:24" x14ac:dyDescent="0.2">
      <c r="A49" s="1">
        <v>0.98958333333333204</v>
      </c>
      <c r="I49" s="2"/>
      <c r="J49" s="4">
        <v>801</v>
      </c>
      <c r="K49" s="5">
        <v>2013</v>
      </c>
      <c r="L49" s="5">
        <v>5</v>
      </c>
      <c r="M49" s="5">
        <v>29</v>
      </c>
      <c r="N49" s="3" t="str">
        <f t="shared" si="2"/>
        <v>2013,5,29</v>
      </c>
      <c r="O49" t="s">
        <v>19</v>
      </c>
      <c r="P49">
        <f t="shared" si="10"/>
        <v>13.35</v>
      </c>
      <c r="Q49" s="6">
        <f t="shared" si="11"/>
        <v>35.083333333333336</v>
      </c>
      <c r="R49" s="7"/>
      <c r="S49" s="7"/>
      <c r="T49" s="7" t="str">
        <f t="shared" si="6"/>
        <v/>
      </c>
      <c r="U49" s="7"/>
      <c r="V49">
        <f t="shared" si="3"/>
        <v>0</v>
      </c>
      <c r="W49" s="3">
        <f t="shared" si="4"/>
        <v>0</v>
      </c>
      <c r="X49" s="3">
        <f t="shared" si="5"/>
        <v>0</v>
      </c>
    </row>
    <row r="50" spans="1:24" x14ac:dyDescent="0.2">
      <c r="A50" s="1">
        <v>0.999999999999998</v>
      </c>
      <c r="I50" s="2"/>
      <c r="J50" s="4">
        <v>1463</v>
      </c>
      <c r="K50" s="5">
        <v>2013</v>
      </c>
      <c r="L50" s="5">
        <v>5</v>
      </c>
      <c r="M50" s="5">
        <v>29</v>
      </c>
      <c r="N50" s="3" t="str">
        <f t="shared" si="2"/>
        <v>2013,5,29</v>
      </c>
      <c r="O50" t="s">
        <v>19</v>
      </c>
      <c r="P50">
        <f t="shared" si="10"/>
        <v>24.383333333333333</v>
      </c>
      <c r="Q50" s="6">
        <f t="shared" si="11"/>
        <v>59.466666666666669</v>
      </c>
      <c r="R50" s="7"/>
      <c r="S50" s="7"/>
      <c r="T50" s="7" t="str">
        <f t="shared" si="6"/>
        <v/>
      </c>
      <c r="U50" s="7"/>
      <c r="V50">
        <f t="shared" si="3"/>
        <v>0</v>
      </c>
      <c r="W50" s="3">
        <f t="shared" si="4"/>
        <v>0</v>
      </c>
      <c r="X50" s="3">
        <f t="shared" si="5"/>
        <v>0</v>
      </c>
    </row>
    <row r="51" spans="1:24" x14ac:dyDescent="0.2">
      <c r="A51" s="1">
        <v>1.0416666666666666E-2</v>
      </c>
      <c r="I51" s="2"/>
      <c r="J51" s="4"/>
      <c r="K51" s="9"/>
      <c r="L51" s="9"/>
      <c r="M51" s="9"/>
      <c r="N51" s="3"/>
      <c r="Q51" s="6"/>
      <c r="R51" s="7"/>
      <c r="S51" s="7"/>
      <c r="T51" s="7" t="str">
        <f t="shared" si="6"/>
        <v/>
      </c>
      <c r="U51" s="7"/>
      <c r="V51">
        <f t="shared" si="3"/>
        <v>0</v>
      </c>
      <c r="W51" s="3">
        <f t="shared" si="4"/>
        <v>0</v>
      </c>
      <c r="X51" s="3">
        <f t="shared" si="5"/>
        <v>0</v>
      </c>
    </row>
    <row r="52" spans="1:24" x14ac:dyDescent="0.2">
      <c r="A52" s="1">
        <v>2.0833333333337901E-2</v>
      </c>
      <c r="I52" s="2" t="s">
        <v>34</v>
      </c>
      <c r="J52" s="4">
        <v>790</v>
      </c>
      <c r="K52" s="5">
        <v>2013</v>
      </c>
      <c r="L52" s="5">
        <v>5</v>
      </c>
      <c r="M52" s="5">
        <v>29</v>
      </c>
      <c r="N52" s="3" t="str">
        <f t="shared" si="2"/>
        <v>2013,5,29</v>
      </c>
      <c r="O52" t="s">
        <v>19</v>
      </c>
      <c r="P52">
        <f t="shared" ref="P52:P115" si="12">J52/60</f>
        <v>13.166666666666666</v>
      </c>
      <c r="Q52" s="6">
        <f>IF(O50=O52, Q50+P52,P52)</f>
        <v>72.63333333333334</v>
      </c>
      <c r="R52" s="7">
        <v>0.25833333333333336</v>
      </c>
      <c r="S52" s="7">
        <f t="shared" si="7"/>
        <v>0.25</v>
      </c>
      <c r="T52" s="7">
        <f t="shared" si="6"/>
        <v>0.30833333333333335</v>
      </c>
      <c r="U52" s="7">
        <f t="shared" si="8"/>
        <v>0.30208333333333331</v>
      </c>
      <c r="V52">
        <f t="shared" si="3"/>
        <v>6</v>
      </c>
      <c r="W52" s="3">
        <f t="shared" si="4"/>
        <v>0.2</v>
      </c>
      <c r="X52" s="3">
        <f t="shared" si="5"/>
        <v>6.2</v>
      </c>
    </row>
    <row r="53" spans="1:24" x14ac:dyDescent="0.2">
      <c r="A53" s="1">
        <v>3.1250000000008202E-2</v>
      </c>
      <c r="I53" s="2"/>
      <c r="J53" s="4">
        <v>274</v>
      </c>
      <c r="K53" s="5">
        <v>2013</v>
      </c>
      <c r="L53" s="5">
        <v>6</v>
      </c>
      <c r="M53" s="5">
        <v>2</v>
      </c>
      <c r="N53" s="3" t="str">
        <f t="shared" si="2"/>
        <v>2013,6,2</v>
      </c>
      <c r="O53" t="s">
        <v>21</v>
      </c>
      <c r="P53">
        <f t="shared" si="12"/>
        <v>4.5666666666666664</v>
      </c>
      <c r="Q53" s="6">
        <f t="shared" si="11"/>
        <v>4.5666666666666664</v>
      </c>
      <c r="R53" s="7"/>
      <c r="S53" s="7"/>
      <c r="T53" s="7" t="str">
        <f t="shared" si="6"/>
        <v/>
      </c>
      <c r="U53" s="7"/>
      <c r="V53">
        <f t="shared" si="3"/>
        <v>0</v>
      </c>
      <c r="W53" s="3">
        <f t="shared" si="4"/>
        <v>0</v>
      </c>
      <c r="X53" s="3">
        <f t="shared" si="5"/>
        <v>0</v>
      </c>
    </row>
    <row r="54" spans="1:24" x14ac:dyDescent="0.2">
      <c r="A54" s="1">
        <v>4.1666666666667899E-2</v>
      </c>
      <c r="I54" s="2"/>
      <c r="J54" s="4">
        <v>727</v>
      </c>
      <c r="K54" s="5">
        <v>2013</v>
      </c>
      <c r="L54" s="5">
        <v>6</v>
      </c>
      <c r="M54" s="5">
        <v>2</v>
      </c>
      <c r="N54" s="3" t="str">
        <f t="shared" si="2"/>
        <v>2013,6,2</v>
      </c>
      <c r="O54" t="s">
        <v>21</v>
      </c>
      <c r="P54">
        <f t="shared" si="12"/>
        <v>12.116666666666667</v>
      </c>
      <c r="Q54" s="6">
        <f t="shared" si="11"/>
        <v>16.683333333333334</v>
      </c>
      <c r="R54" s="7"/>
      <c r="S54" s="7"/>
      <c r="T54" s="7" t="str">
        <f t="shared" si="6"/>
        <v/>
      </c>
      <c r="U54" s="7"/>
      <c r="V54">
        <f t="shared" si="3"/>
        <v>0</v>
      </c>
      <c r="W54" s="3">
        <f t="shared" si="4"/>
        <v>0</v>
      </c>
      <c r="X54" s="3">
        <f t="shared" si="5"/>
        <v>0</v>
      </c>
    </row>
    <row r="55" spans="1:24" x14ac:dyDescent="0.2">
      <c r="A55" s="1">
        <v>5.2083333333338401E-2</v>
      </c>
      <c r="I55" s="2"/>
      <c r="J55" s="4">
        <v>647</v>
      </c>
      <c r="K55" s="5">
        <v>2013</v>
      </c>
      <c r="L55" s="5">
        <v>6</v>
      </c>
      <c r="M55" s="5">
        <v>2</v>
      </c>
      <c r="N55" s="3" t="str">
        <f t="shared" si="2"/>
        <v>2013,6,2</v>
      </c>
      <c r="O55" t="s">
        <v>21</v>
      </c>
      <c r="P55">
        <f t="shared" si="12"/>
        <v>10.783333333333333</v>
      </c>
      <c r="Q55" s="6">
        <f t="shared" si="11"/>
        <v>27.466666666666669</v>
      </c>
      <c r="R55" s="7"/>
      <c r="S55" s="7"/>
      <c r="T55" s="7" t="str">
        <f t="shared" si="6"/>
        <v/>
      </c>
      <c r="U55" s="7"/>
      <c r="V55">
        <f t="shared" si="3"/>
        <v>0</v>
      </c>
      <c r="W55" s="3">
        <f t="shared" si="4"/>
        <v>0</v>
      </c>
      <c r="X55" s="3">
        <f t="shared" si="5"/>
        <v>0</v>
      </c>
    </row>
    <row r="56" spans="1:24" x14ac:dyDescent="0.2">
      <c r="A56" s="1">
        <v>6.2500000000007994E-2</v>
      </c>
      <c r="I56" s="2"/>
      <c r="J56" s="4">
        <v>445</v>
      </c>
      <c r="K56" s="5">
        <v>2013</v>
      </c>
      <c r="L56" s="5">
        <v>6</v>
      </c>
      <c r="M56" s="5">
        <v>2</v>
      </c>
      <c r="N56" s="3" t="str">
        <f t="shared" si="2"/>
        <v>2013,6,2</v>
      </c>
      <c r="O56" t="s">
        <v>21</v>
      </c>
      <c r="P56">
        <f t="shared" si="12"/>
        <v>7.416666666666667</v>
      </c>
      <c r="Q56" s="6">
        <f t="shared" si="11"/>
        <v>34.883333333333333</v>
      </c>
      <c r="R56" s="7"/>
      <c r="S56" s="7"/>
      <c r="T56" s="7" t="str">
        <f t="shared" si="6"/>
        <v/>
      </c>
      <c r="U56" s="7"/>
      <c r="V56">
        <f t="shared" si="3"/>
        <v>0</v>
      </c>
      <c r="W56" s="3">
        <f t="shared" si="4"/>
        <v>0</v>
      </c>
      <c r="X56" s="3">
        <f t="shared" si="5"/>
        <v>0</v>
      </c>
    </row>
    <row r="57" spans="1:24" x14ac:dyDescent="0.2">
      <c r="A57" s="1">
        <v>7.2916666666678495E-2</v>
      </c>
      <c r="I57" s="2"/>
      <c r="J57" s="4">
        <v>191</v>
      </c>
      <c r="K57" s="5">
        <v>2013</v>
      </c>
      <c r="L57" s="5">
        <v>6</v>
      </c>
      <c r="M57" s="5">
        <v>2</v>
      </c>
      <c r="N57" s="3" t="str">
        <f t="shared" si="2"/>
        <v>2013,6,2</v>
      </c>
      <c r="O57" t="s">
        <v>21</v>
      </c>
      <c r="P57">
        <f t="shared" si="12"/>
        <v>3.1833333333333331</v>
      </c>
      <c r="Q57" s="6">
        <f t="shared" si="11"/>
        <v>38.066666666666663</v>
      </c>
      <c r="R57" s="7"/>
      <c r="S57" s="7"/>
      <c r="T57" s="7" t="str">
        <f t="shared" si="6"/>
        <v/>
      </c>
      <c r="U57" s="7"/>
      <c r="V57">
        <f t="shared" si="3"/>
        <v>0</v>
      </c>
      <c r="W57" s="3">
        <f t="shared" si="4"/>
        <v>0</v>
      </c>
      <c r="X57" s="3">
        <f t="shared" si="5"/>
        <v>0</v>
      </c>
    </row>
    <row r="58" spans="1:24" x14ac:dyDescent="0.2">
      <c r="A58" s="1">
        <v>8.3333333333348997E-2</v>
      </c>
      <c r="I58" s="2"/>
      <c r="J58" s="4">
        <v>340</v>
      </c>
      <c r="K58" s="5">
        <v>2013</v>
      </c>
      <c r="L58" s="5">
        <v>6</v>
      </c>
      <c r="M58" s="5">
        <v>2</v>
      </c>
      <c r="N58" s="3" t="str">
        <f t="shared" si="2"/>
        <v>2013,6,2</v>
      </c>
      <c r="O58" t="s">
        <v>21</v>
      </c>
      <c r="P58">
        <f t="shared" si="12"/>
        <v>5.666666666666667</v>
      </c>
      <c r="Q58" s="6">
        <f t="shared" si="11"/>
        <v>43.733333333333327</v>
      </c>
      <c r="R58" s="7"/>
      <c r="S58" s="7"/>
      <c r="T58" s="7" t="str">
        <f t="shared" si="6"/>
        <v/>
      </c>
      <c r="U58" s="7"/>
      <c r="V58">
        <f t="shared" si="3"/>
        <v>0</v>
      </c>
      <c r="W58" s="3">
        <f t="shared" si="4"/>
        <v>0</v>
      </c>
      <c r="X58" s="3">
        <f t="shared" si="5"/>
        <v>0</v>
      </c>
    </row>
    <row r="59" spans="1:24" x14ac:dyDescent="0.2">
      <c r="A59" s="1">
        <v>9.3750000000019498E-2</v>
      </c>
      <c r="I59" s="2"/>
      <c r="J59" s="4">
        <v>682</v>
      </c>
      <c r="K59" s="5">
        <v>2013</v>
      </c>
      <c r="L59" s="5">
        <v>6</v>
      </c>
      <c r="M59" s="5">
        <v>2</v>
      </c>
      <c r="N59" s="3" t="str">
        <f t="shared" si="2"/>
        <v>2013,6,2</v>
      </c>
      <c r="O59" t="s">
        <v>21</v>
      </c>
      <c r="P59">
        <f t="shared" si="12"/>
        <v>11.366666666666667</v>
      </c>
      <c r="Q59" s="6">
        <f t="shared" si="11"/>
        <v>55.099999999999994</v>
      </c>
      <c r="R59" s="7"/>
      <c r="S59" s="7"/>
      <c r="T59" s="7" t="str">
        <f t="shared" si="6"/>
        <v/>
      </c>
      <c r="U59" s="7"/>
      <c r="V59">
        <f t="shared" si="3"/>
        <v>0</v>
      </c>
      <c r="W59" s="3">
        <f t="shared" si="4"/>
        <v>0</v>
      </c>
      <c r="X59" s="3">
        <f t="shared" si="5"/>
        <v>0</v>
      </c>
    </row>
    <row r="60" spans="1:24" x14ac:dyDescent="0.2">
      <c r="A60" s="1">
        <v>0.10416666666669</v>
      </c>
      <c r="I60" s="2"/>
      <c r="J60" s="11">
        <v>202</v>
      </c>
      <c r="K60" s="12">
        <v>2013</v>
      </c>
      <c r="L60" s="12">
        <v>6</v>
      </c>
      <c r="M60" s="12">
        <v>2</v>
      </c>
      <c r="N60" s="13" t="str">
        <f t="shared" si="2"/>
        <v>2013,6,2</v>
      </c>
      <c r="O60" s="14" t="s">
        <v>21</v>
      </c>
      <c r="P60" s="14">
        <f t="shared" si="12"/>
        <v>3.3666666666666667</v>
      </c>
      <c r="Q60" s="15">
        <f t="shared" si="11"/>
        <v>58.466666666666661</v>
      </c>
      <c r="R60" s="7"/>
      <c r="S60" s="7"/>
      <c r="T60" s="7" t="str">
        <f t="shared" si="6"/>
        <v/>
      </c>
      <c r="U60" s="7"/>
      <c r="V60">
        <f t="shared" si="3"/>
        <v>0</v>
      </c>
      <c r="W60" s="3">
        <f t="shared" si="4"/>
        <v>0</v>
      </c>
      <c r="X60" s="3">
        <f t="shared" si="5"/>
        <v>0</v>
      </c>
    </row>
    <row r="61" spans="1:24" x14ac:dyDescent="0.2">
      <c r="A61" s="1">
        <v>0.11458333333336</v>
      </c>
      <c r="I61" s="2"/>
      <c r="J61" s="4">
        <v>673</v>
      </c>
      <c r="K61" s="5">
        <v>2013</v>
      </c>
      <c r="L61" s="5">
        <v>6</v>
      </c>
      <c r="M61" s="5">
        <v>5</v>
      </c>
      <c r="N61" s="3" t="str">
        <f t="shared" si="2"/>
        <v>2013,6,5</v>
      </c>
      <c r="O61" t="s">
        <v>19</v>
      </c>
      <c r="P61">
        <f t="shared" si="12"/>
        <v>11.216666666666667</v>
      </c>
      <c r="Q61" s="6">
        <f t="shared" si="11"/>
        <v>11.216666666666667</v>
      </c>
      <c r="R61" s="7"/>
      <c r="S61" s="7"/>
      <c r="T61" s="7" t="str">
        <f t="shared" si="6"/>
        <v/>
      </c>
      <c r="U61" s="7"/>
      <c r="V61">
        <f t="shared" si="3"/>
        <v>0</v>
      </c>
      <c r="W61" s="3">
        <f t="shared" si="4"/>
        <v>0</v>
      </c>
      <c r="X61" s="3">
        <f t="shared" si="5"/>
        <v>0</v>
      </c>
    </row>
    <row r="62" spans="1:24" x14ac:dyDescent="0.2">
      <c r="A62" s="1">
        <v>0.125000000000031</v>
      </c>
      <c r="I62" s="2"/>
      <c r="J62" s="4">
        <v>722</v>
      </c>
      <c r="K62" s="5">
        <v>2013</v>
      </c>
      <c r="L62" s="5">
        <v>6</v>
      </c>
      <c r="M62" s="5">
        <v>5</v>
      </c>
      <c r="N62" s="3" t="str">
        <f t="shared" si="2"/>
        <v>2013,6,5</v>
      </c>
      <c r="O62" t="s">
        <v>19</v>
      </c>
      <c r="P62">
        <f t="shared" si="12"/>
        <v>12.033333333333333</v>
      </c>
      <c r="Q62" s="6">
        <f t="shared" si="11"/>
        <v>23.25</v>
      </c>
      <c r="R62" s="7"/>
      <c r="S62" s="7"/>
      <c r="T62" s="7" t="str">
        <f t="shared" si="6"/>
        <v/>
      </c>
      <c r="U62" s="7"/>
      <c r="V62">
        <f t="shared" si="3"/>
        <v>0</v>
      </c>
      <c r="W62" s="3">
        <f t="shared" si="4"/>
        <v>0</v>
      </c>
      <c r="X62" s="3">
        <f t="shared" si="5"/>
        <v>0</v>
      </c>
    </row>
    <row r="63" spans="1:24" x14ac:dyDescent="0.2">
      <c r="A63" s="1">
        <v>0.13541666666670099</v>
      </c>
      <c r="I63" s="2"/>
      <c r="J63" s="4">
        <v>654</v>
      </c>
      <c r="K63" s="5">
        <v>2013</v>
      </c>
      <c r="L63" s="5">
        <v>6</v>
      </c>
      <c r="M63" s="5">
        <v>5</v>
      </c>
      <c r="N63" s="3" t="str">
        <f t="shared" si="2"/>
        <v>2013,6,5</v>
      </c>
      <c r="O63" t="s">
        <v>19</v>
      </c>
      <c r="P63">
        <f t="shared" si="12"/>
        <v>10.9</v>
      </c>
      <c r="Q63" s="6">
        <f t="shared" si="11"/>
        <v>34.15</v>
      </c>
      <c r="R63" s="7"/>
      <c r="S63" s="7"/>
      <c r="T63" s="7" t="str">
        <f t="shared" si="6"/>
        <v/>
      </c>
      <c r="U63" s="7"/>
      <c r="V63">
        <f t="shared" si="3"/>
        <v>0</v>
      </c>
      <c r="W63" s="3">
        <f t="shared" si="4"/>
        <v>0</v>
      </c>
      <c r="X63" s="3">
        <f t="shared" si="5"/>
        <v>0</v>
      </c>
    </row>
    <row r="64" spans="1:24" x14ac:dyDescent="0.2">
      <c r="A64" s="1">
        <v>0.14583333333337201</v>
      </c>
      <c r="I64" s="2"/>
      <c r="J64" s="4">
        <v>257</v>
      </c>
      <c r="K64" s="5">
        <v>2013</v>
      </c>
      <c r="L64" s="5">
        <v>6</v>
      </c>
      <c r="M64" s="5">
        <v>5</v>
      </c>
      <c r="N64" s="3" t="str">
        <f t="shared" si="2"/>
        <v>2013,6,5</v>
      </c>
      <c r="O64" t="s">
        <v>19</v>
      </c>
      <c r="P64">
        <f t="shared" si="12"/>
        <v>4.2833333333333332</v>
      </c>
      <c r="Q64" s="6">
        <f t="shared" si="11"/>
        <v>38.43333333333333</v>
      </c>
      <c r="R64" s="7"/>
      <c r="S64" s="7"/>
      <c r="T64" s="7" t="str">
        <f t="shared" si="6"/>
        <v/>
      </c>
      <c r="U64" s="7"/>
      <c r="V64">
        <f t="shared" si="3"/>
        <v>0</v>
      </c>
      <c r="W64" s="3">
        <f t="shared" si="4"/>
        <v>0</v>
      </c>
      <c r="X64" s="3">
        <f t="shared" si="5"/>
        <v>0</v>
      </c>
    </row>
    <row r="65" spans="1:24" x14ac:dyDescent="0.2">
      <c r="A65" s="1">
        <v>0.15625000000004199</v>
      </c>
      <c r="I65" s="2"/>
      <c r="J65" s="4">
        <v>657</v>
      </c>
      <c r="K65" s="5">
        <v>2013</v>
      </c>
      <c r="L65" s="5">
        <v>6</v>
      </c>
      <c r="M65" s="5">
        <v>5</v>
      </c>
      <c r="N65" s="3" t="str">
        <f t="shared" si="2"/>
        <v>2013,6,5</v>
      </c>
      <c r="O65" t="s">
        <v>19</v>
      </c>
      <c r="P65">
        <f t="shared" si="12"/>
        <v>10.95</v>
      </c>
      <c r="Q65" s="6">
        <f t="shared" si="11"/>
        <v>49.383333333333326</v>
      </c>
      <c r="R65" s="7"/>
      <c r="S65" s="7"/>
      <c r="T65" s="7" t="str">
        <f t="shared" si="6"/>
        <v/>
      </c>
      <c r="U65" s="7"/>
      <c r="V65">
        <f t="shared" si="3"/>
        <v>0</v>
      </c>
      <c r="W65" s="3">
        <f t="shared" si="4"/>
        <v>0</v>
      </c>
      <c r="X65" s="3">
        <f t="shared" si="5"/>
        <v>0</v>
      </c>
    </row>
    <row r="66" spans="1:24" x14ac:dyDescent="0.2">
      <c r="A66" s="1">
        <v>0.16666666666671301</v>
      </c>
      <c r="I66" s="2" t="s">
        <v>35</v>
      </c>
      <c r="J66" s="4">
        <v>473</v>
      </c>
      <c r="K66" s="5">
        <v>2013</v>
      </c>
      <c r="L66" s="5">
        <v>6</v>
      </c>
      <c r="M66" s="5">
        <v>5</v>
      </c>
      <c r="N66" s="3" t="str">
        <f t="shared" si="2"/>
        <v>2013,6,5</v>
      </c>
      <c r="O66" t="s">
        <v>19</v>
      </c>
      <c r="P66">
        <f t="shared" si="12"/>
        <v>7.8833333333333337</v>
      </c>
      <c r="Q66" s="6">
        <f t="shared" si="11"/>
        <v>57.266666666666659</v>
      </c>
      <c r="R66" s="7">
        <v>0.29722222222222222</v>
      </c>
      <c r="S66" s="7">
        <f t="shared" si="7"/>
        <v>0.29166666666666663</v>
      </c>
      <c r="T66" s="7">
        <f t="shared" si="6"/>
        <v>0.33680555555555558</v>
      </c>
      <c r="U66" s="7">
        <f t="shared" si="8"/>
        <v>0.33333333333333331</v>
      </c>
      <c r="V66">
        <f t="shared" si="3"/>
        <v>7</v>
      </c>
      <c r="W66" s="3">
        <f t="shared" si="4"/>
        <v>0.13333333333333333</v>
      </c>
      <c r="X66" s="3">
        <f t="shared" si="5"/>
        <v>7.1333333333333337</v>
      </c>
    </row>
    <row r="67" spans="1:24" x14ac:dyDescent="0.2">
      <c r="A67" s="1">
        <v>0.177083333333384</v>
      </c>
      <c r="I67" s="2"/>
      <c r="J67" s="4">
        <v>337</v>
      </c>
      <c r="K67" s="5">
        <v>2013</v>
      </c>
      <c r="L67" s="5">
        <v>6</v>
      </c>
      <c r="M67" s="5">
        <v>8</v>
      </c>
      <c r="N67" s="3" t="str">
        <f t="shared" ref="N67:N130" si="13">K67&amp;","&amp;L67&amp;","&amp;M67</f>
        <v>2013,6,8</v>
      </c>
      <c r="O67" t="s">
        <v>26</v>
      </c>
      <c r="P67">
        <f t="shared" si="12"/>
        <v>5.6166666666666663</v>
      </c>
      <c r="Q67" s="6">
        <f t="shared" si="11"/>
        <v>5.6166666666666663</v>
      </c>
      <c r="R67" s="7"/>
      <c r="S67" s="7"/>
      <c r="T67" s="7" t="str">
        <f t="shared" ref="T67:T130" si="14">IF(ISBLANK(R67),"",R67+TIME(0,Q67,0))</f>
        <v/>
      </c>
      <c r="U67" s="7"/>
      <c r="V67">
        <f t="shared" si="3"/>
        <v>0</v>
      </c>
      <c r="W67" s="3">
        <f t="shared" si="4"/>
        <v>0</v>
      </c>
      <c r="X67" s="3">
        <f t="shared" si="5"/>
        <v>0</v>
      </c>
    </row>
    <row r="68" spans="1:24" x14ac:dyDescent="0.2">
      <c r="A68" s="1">
        <v>0.18750000000005401</v>
      </c>
      <c r="I68" s="2"/>
      <c r="J68" s="4">
        <v>567</v>
      </c>
      <c r="K68" s="5">
        <v>2013</v>
      </c>
      <c r="L68" s="5">
        <v>6</v>
      </c>
      <c r="M68" s="5">
        <v>8</v>
      </c>
      <c r="N68" s="3" t="str">
        <f t="shared" si="13"/>
        <v>2013,6,8</v>
      </c>
      <c r="O68" t="s">
        <v>26</v>
      </c>
      <c r="P68">
        <f t="shared" si="12"/>
        <v>9.4499999999999993</v>
      </c>
      <c r="Q68" s="6">
        <f t="shared" si="11"/>
        <v>15.066666666666666</v>
      </c>
      <c r="R68" s="7"/>
      <c r="S68" s="7"/>
      <c r="T68" s="7" t="str">
        <f t="shared" si="14"/>
        <v/>
      </c>
      <c r="U68" s="7"/>
      <c r="V68">
        <f t="shared" ref="V68:V131" si="15">HOUR(R68)</f>
        <v>0</v>
      </c>
      <c r="W68" s="3">
        <f t="shared" ref="W68:W131" si="16">MINUTE(R68)/60</f>
        <v>0</v>
      </c>
      <c r="X68" s="3">
        <f t="shared" ref="X68:X131" si="17">V68+W68</f>
        <v>0</v>
      </c>
    </row>
    <row r="69" spans="1:24" x14ac:dyDescent="0.2">
      <c r="A69" s="1">
        <v>0.197916666666725</v>
      </c>
      <c r="I69" s="2"/>
      <c r="J69" s="4">
        <v>522</v>
      </c>
      <c r="K69" s="5">
        <v>2013</v>
      </c>
      <c r="L69" s="5">
        <v>6</v>
      </c>
      <c r="M69" s="5">
        <v>8</v>
      </c>
      <c r="N69" s="3" t="str">
        <f t="shared" si="13"/>
        <v>2013,6,8</v>
      </c>
      <c r="O69" t="s">
        <v>26</v>
      </c>
      <c r="P69">
        <f t="shared" si="12"/>
        <v>8.6999999999999993</v>
      </c>
      <c r="Q69" s="6">
        <f t="shared" si="11"/>
        <v>23.766666666666666</v>
      </c>
      <c r="R69" s="7"/>
      <c r="S69" s="7"/>
      <c r="T69" s="7" t="str">
        <f t="shared" si="14"/>
        <v/>
      </c>
      <c r="U69" s="7"/>
      <c r="V69">
        <f t="shared" si="15"/>
        <v>0</v>
      </c>
      <c r="W69" s="3">
        <f t="shared" si="16"/>
        <v>0</v>
      </c>
      <c r="X69" s="3">
        <f t="shared" si="17"/>
        <v>0</v>
      </c>
    </row>
    <row r="70" spans="1:24" x14ac:dyDescent="0.2">
      <c r="A70" s="1">
        <v>0.20833333333339499</v>
      </c>
      <c r="I70" s="2"/>
      <c r="J70" s="4">
        <v>250</v>
      </c>
      <c r="K70" s="5">
        <v>2013</v>
      </c>
      <c r="L70" s="5">
        <v>6</v>
      </c>
      <c r="M70" s="5">
        <v>8</v>
      </c>
      <c r="N70" s="3" t="str">
        <f t="shared" si="13"/>
        <v>2013,6,8</v>
      </c>
      <c r="O70" t="s">
        <v>26</v>
      </c>
      <c r="P70">
        <f t="shared" si="12"/>
        <v>4.166666666666667</v>
      </c>
      <c r="Q70" s="6">
        <f t="shared" si="11"/>
        <v>27.933333333333334</v>
      </c>
      <c r="R70" s="7"/>
      <c r="S70" s="7"/>
      <c r="T70" s="7" t="str">
        <f t="shared" si="14"/>
        <v/>
      </c>
      <c r="U70" s="7"/>
      <c r="V70">
        <f t="shared" si="15"/>
        <v>0</v>
      </c>
      <c r="W70" s="3">
        <f t="shared" si="16"/>
        <v>0</v>
      </c>
      <c r="X70" s="3">
        <f t="shared" si="17"/>
        <v>0</v>
      </c>
    </row>
    <row r="71" spans="1:24" x14ac:dyDescent="0.2">
      <c r="A71" s="1">
        <v>0.218750000000066</v>
      </c>
      <c r="I71" s="2"/>
      <c r="J71" s="4">
        <v>1018</v>
      </c>
      <c r="K71" s="5">
        <v>2013</v>
      </c>
      <c r="L71" s="5">
        <v>6</v>
      </c>
      <c r="M71" s="5">
        <v>8</v>
      </c>
      <c r="N71" s="3" t="str">
        <f t="shared" si="13"/>
        <v>2013,6,8</v>
      </c>
      <c r="O71" t="s">
        <v>26</v>
      </c>
      <c r="P71">
        <f t="shared" si="12"/>
        <v>16.966666666666665</v>
      </c>
      <c r="Q71" s="6">
        <f t="shared" si="11"/>
        <v>44.9</v>
      </c>
      <c r="R71" s="7"/>
      <c r="S71" s="7"/>
      <c r="T71" s="7" t="str">
        <f t="shared" si="14"/>
        <v/>
      </c>
      <c r="U71" s="7"/>
      <c r="V71">
        <f t="shared" si="15"/>
        <v>0</v>
      </c>
      <c r="W71" s="3">
        <f t="shared" si="16"/>
        <v>0</v>
      </c>
      <c r="X71" s="3">
        <f t="shared" si="17"/>
        <v>0</v>
      </c>
    </row>
    <row r="72" spans="1:24" x14ac:dyDescent="0.2">
      <c r="A72" s="1">
        <v>0.22916666666673599</v>
      </c>
      <c r="I72" s="2" t="s">
        <v>36</v>
      </c>
      <c r="J72" s="4">
        <v>309</v>
      </c>
      <c r="K72" s="5">
        <v>2013</v>
      </c>
      <c r="L72" s="5">
        <v>6</v>
      </c>
      <c r="M72" s="5">
        <v>8</v>
      </c>
      <c r="N72" s="3" t="str">
        <f t="shared" si="13"/>
        <v>2013,6,8</v>
      </c>
      <c r="O72" t="s">
        <v>26</v>
      </c>
      <c r="P72">
        <f t="shared" si="12"/>
        <v>5.15</v>
      </c>
      <c r="Q72" s="6">
        <f t="shared" si="11"/>
        <v>50.05</v>
      </c>
      <c r="R72" s="7">
        <v>0.65833333333333333</v>
      </c>
      <c r="S72" s="7">
        <f t="shared" ref="S72:S129" si="18">FLOOR(R72,"0:15")</f>
        <v>0.65625</v>
      </c>
      <c r="T72" s="7">
        <f t="shared" si="14"/>
        <v>0.69305555555555554</v>
      </c>
      <c r="U72" s="7">
        <f t="shared" ref="U72:U129" si="19">FLOOR(T72,"0:15")</f>
        <v>0.6875</v>
      </c>
      <c r="V72">
        <f t="shared" si="15"/>
        <v>15</v>
      </c>
      <c r="W72" s="3">
        <f t="shared" si="16"/>
        <v>0.8</v>
      </c>
      <c r="X72" s="3">
        <f t="shared" si="17"/>
        <v>15.8</v>
      </c>
    </row>
    <row r="73" spans="1:24" x14ac:dyDescent="0.2">
      <c r="A73" s="1">
        <v>0.23958333333333334</v>
      </c>
      <c r="I73" s="2"/>
      <c r="J73" s="4">
        <v>604</v>
      </c>
      <c r="K73" s="5">
        <v>2013</v>
      </c>
      <c r="L73" s="5">
        <v>6</v>
      </c>
      <c r="M73" s="5">
        <v>12</v>
      </c>
      <c r="N73" s="3" t="str">
        <f t="shared" si="13"/>
        <v>2013,6,12</v>
      </c>
      <c r="O73" t="s">
        <v>19</v>
      </c>
      <c r="P73">
        <f t="shared" si="12"/>
        <v>10.066666666666666</v>
      </c>
      <c r="Q73" s="6">
        <f t="shared" si="11"/>
        <v>10.066666666666666</v>
      </c>
      <c r="R73" s="7"/>
      <c r="S73" s="7"/>
      <c r="T73" s="7" t="str">
        <f t="shared" si="14"/>
        <v/>
      </c>
      <c r="U73" s="7"/>
      <c r="V73">
        <f t="shared" si="15"/>
        <v>0</v>
      </c>
      <c r="W73" s="3">
        <f t="shared" si="16"/>
        <v>0</v>
      </c>
      <c r="X73" s="3">
        <f t="shared" si="17"/>
        <v>0</v>
      </c>
    </row>
    <row r="74" spans="1:24" x14ac:dyDescent="0.2">
      <c r="A74" s="1">
        <v>0.25000000000007699</v>
      </c>
      <c r="E74">
        <v>2</v>
      </c>
      <c r="F74">
        <v>2</v>
      </c>
      <c r="I74" s="2"/>
      <c r="J74" s="4">
        <v>594</v>
      </c>
      <c r="K74" s="5">
        <v>2013</v>
      </c>
      <c r="L74" s="5">
        <v>6</v>
      </c>
      <c r="M74" s="5">
        <v>12</v>
      </c>
      <c r="N74" s="3" t="str">
        <f t="shared" si="13"/>
        <v>2013,6,12</v>
      </c>
      <c r="O74" t="s">
        <v>19</v>
      </c>
      <c r="P74">
        <f t="shared" si="12"/>
        <v>9.9</v>
      </c>
      <c r="Q74" s="6">
        <f t="shared" si="11"/>
        <v>19.966666666666669</v>
      </c>
      <c r="R74" s="7"/>
      <c r="S74" s="7"/>
      <c r="T74" s="7" t="str">
        <f t="shared" si="14"/>
        <v/>
      </c>
      <c r="U74" s="7"/>
      <c r="V74">
        <f t="shared" si="15"/>
        <v>0</v>
      </c>
      <c r="W74" s="3">
        <f t="shared" si="16"/>
        <v>0</v>
      </c>
      <c r="X74" s="3">
        <f t="shared" si="17"/>
        <v>0</v>
      </c>
    </row>
    <row r="75" spans="1:24" x14ac:dyDescent="0.2">
      <c r="A75" s="1">
        <v>0.26041666666674801</v>
      </c>
      <c r="E75">
        <v>9</v>
      </c>
      <c r="F75">
        <v>2</v>
      </c>
      <c r="I75" s="2"/>
      <c r="J75" s="4">
        <v>857</v>
      </c>
      <c r="K75" s="5">
        <v>2013</v>
      </c>
      <c r="L75" s="5">
        <v>6</v>
      </c>
      <c r="M75" s="5">
        <v>12</v>
      </c>
      <c r="N75" s="3" t="str">
        <f t="shared" si="13"/>
        <v>2013,6,12</v>
      </c>
      <c r="O75" t="s">
        <v>19</v>
      </c>
      <c r="P75">
        <f t="shared" si="12"/>
        <v>14.283333333333333</v>
      </c>
      <c r="Q75" s="6">
        <f t="shared" si="11"/>
        <v>34.25</v>
      </c>
      <c r="R75" s="7"/>
      <c r="S75" s="7"/>
      <c r="T75" s="7" t="str">
        <f t="shared" si="14"/>
        <v/>
      </c>
      <c r="U75" s="7"/>
      <c r="V75">
        <f t="shared" si="15"/>
        <v>0</v>
      </c>
      <c r="W75" s="3">
        <f t="shared" si="16"/>
        <v>0</v>
      </c>
      <c r="X75" s="3">
        <f t="shared" si="17"/>
        <v>0</v>
      </c>
    </row>
    <row r="76" spans="1:24" x14ac:dyDescent="0.2">
      <c r="A76" s="1">
        <v>0.27083333333341802</v>
      </c>
      <c r="E76">
        <v>13</v>
      </c>
      <c r="F76">
        <v>3</v>
      </c>
      <c r="I76" s="2"/>
      <c r="J76" s="4">
        <v>173</v>
      </c>
      <c r="K76" s="5">
        <v>2013</v>
      </c>
      <c r="L76" s="5">
        <v>6</v>
      </c>
      <c r="M76" s="5">
        <v>12</v>
      </c>
      <c r="N76" s="3" t="str">
        <f t="shared" si="13"/>
        <v>2013,6,12</v>
      </c>
      <c r="O76" t="s">
        <v>19</v>
      </c>
      <c r="P76">
        <f t="shared" si="12"/>
        <v>2.8833333333333333</v>
      </c>
      <c r="Q76" s="6">
        <f t="shared" si="11"/>
        <v>37.133333333333333</v>
      </c>
      <c r="R76" s="7"/>
      <c r="S76" s="7"/>
      <c r="T76" s="7" t="str">
        <f t="shared" si="14"/>
        <v/>
      </c>
      <c r="U76" s="7"/>
      <c r="V76">
        <f t="shared" si="15"/>
        <v>0</v>
      </c>
      <c r="W76" s="3">
        <f t="shared" si="16"/>
        <v>0</v>
      </c>
      <c r="X76" s="3">
        <f t="shared" si="17"/>
        <v>0</v>
      </c>
    </row>
    <row r="77" spans="1:24" x14ac:dyDescent="0.2">
      <c r="A77" s="1">
        <v>0.28125000000008898</v>
      </c>
      <c r="E77">
        <v>11</v>
      </c>
      <c r="F77">
        <v>3</v>
      </c>
      <c r="H77">
        <v>1</v>
      </c>
      <c r="I77" s="2"/>
      <c r="J77" s="4">
        <v>503</v>
      </c>
      <c r="K77" s="5">
        <v>2013</v>
      </c>
      <c r="L77" s="5">
        <v>6</v>
      </c>
      <c r="M77" s="5">
        <v>12</v>
      </c>
      <c r="N77" s="3" t="str">
        <f t="shared" si="13"/>
        <v>2013,6,12</v>
      </c>
      <c r="O77" t="s">
        <v>19</v>
      </c>
      <c r="P77">
        <f t="shared" si="12"/>
        <v>8.3833333333333329</v>
      </c>
      <c r="Q77" s="6">
        <f t="shared" si="11"/>
        <v>45.516666666666666</v>
      </c>
      <c r="R77" s="7"/>
      <c r="S77" s="7"/>
      <c r="T77" s="7" t="str">
        <f t="shared" si="14"/>
        <v/>
      </c>
      <c r="U77" s="7"/>
      <c r="V77">
        <f t="shared" si="15"/>
        <v>0</v>
      </c>
      <c r="W77" s="3">
        <f t="shared" si="16"/>
        <v>0</v>
      </c>
      <c r="X77" s="3">
        <f t="shared" si="17"/>
        <v>0</v>
      </c>
    </row>
    <row r="78" spans="1:24" x14ac:dyDescent="0.2">
      <c r="A78" s="1">
        <v>0.291666666666759</v>
      </c>
      <c r="B78">
        <v>2</v>
      </c>
      <c r="E78">
        <v>13</v>
      </c>
      <c r="F78">
        <v>4</v>
      </c>
      <c r="H78">
        <v>2</v>
      </c>
      <c r="I78" s="2" t="s">
        <v>37</v>
      </c>
      <c r="J78" s="4">
        <v>192</v>
      </c>
      <c r="K78" s="5">
        <v>2013</v>
      </c>
      <c r="L78" s="5">
        <v>6</v>
      </c>
      <c r="M78" s="5">
        <v>12</v>
      </c>
      <c r="N78" s="3" t="str">
        <f t="shared" si="13"/>
        <v>2013,6,12</v>
      </c>
      <c r="O78" t="s">
        <v>19</v>
      </c>
      <c r="P78">
        <f t="shared" si="12"/>
        <v>3.2</v>
      </c>
      <c r="Q78" s="6">
        <f t="shared" si="11"/>
        <v>48.716666666666669</v>
      </c>
      <c r="R78" s="7">
        <v>0.26944444444444443</v>
      </c>
      <c r="S78" s="7">
        <f t="shared" si="18"/>
        <v>0.26041666666666663</v>
      </c>
      <c r="T78" s="7">
        <f t="shared" si="14"/>
        <v>0.30277777777777776</v>
      </c>
      <c r="U78" s="7">
        <f t="shared" si="19"/>
        <v>0.30208333333333331</v>
      </c>
      <c r="V78">
        <f t="shared" si="15"/>
        <v>6</v>
      </c>
      <c r="W78" s="3">
        <f t="shared" si="16"/>
        <v>0.46666666666666667</v>
      </c>
      <c r="X78" s="3">
        <f t="shared" si="17"/>
        <v>6.4666666666666668</v>
      </c>
    </row>
    <row r="79" spans="1:24" x14ac:dyDescent="0.2">
      <c r="A79" s="1">
        <v>0.30208333333343002</v>
      </c>
      <c r="B79">
        <v>2</v>
      </c>
      <c r="E79">
        <v>8</v>
      </c>
      <c r="F79">
        <v>4</v>
      </c>
      <c r="H79">
        <v>3</v>
      </c>
      <c r="I79" s="2"/>
      <c r="J79" s="4">
        <v>489</v>
      </c>
      <c r="K79" s="5">
        <v>2013</v>
      </c>
      <c r="L79" s="5">
        <v>6</v>
      </c>
      <c r="M79" s="5">
        <v>16</v>
      </c>
      <c r="N79" s="3" t="str">
        <f t="shared" si="13"/>
        <v>2013,6,16</v>
      </c>
      <c r="O79" t="s">
        <v>21</v>
      </c>
      <c r="P79">
        <f t="shared" si="12"/>
        <v>8.15</v>
      </c>
      <c r="Q79" s="6">
        <f t="shared" si="11"/>
        <v>8.15</v>
      </c>
      <c r="R79" s="7"/>
      <c r="S79" s="7"/>
      <c r="T79" s="7" t="str">
        <f t="shared" si="14"/>
        <v/>
      </c>
      <c r="U79" s="7"/>
      <c r="V79">
        <f t="shared" si="15"/>
        <v>0</v>
      </c>
      <c r="W79" s="3">
        <f t="shared" si="16"/>
        <v>0</v>
      </c>
      <c r="X79" s="3">
        <f t="shared" si="17"/>
        <v>0</v>
      </c>
    </row>
    <row r="80" spans="1:24" x14ac:dyDescent="0.2">
      <c r="A80" s="1">
        <v>0.31250000000009998</v>
      </c>
      <c r="B80">
        <v>2</v>
      </c>
      <c r="E80">
        <v>8</v>
      </c>
      <c r="F80">
        <v>5</v>
      </c>
      <c r="H80">
        <v>2</v>
      </c>
      <c r="I80" s="2"/>
      <c r="J80" s="4">
        <v>285</v>
      </c>
      <c r="K80" s="5">
        <v>2013</v>
      </c>
      <c r="L80" s="5">
        <v>6</v>
      </c>
      <c r="M80" s="5">
        <v>16</v>
      </c>
      <c r="N80" s="3" t="str">
        <f t="shared" si="13"/>
        <v>2013,6,16</v>
      </c>
      <c r="O80" t="s">
        <v>21</v>
      </c>
      <c r="P80">
        <f t="shared" si="12"/>
        <v>4.75</v>
      </c>
      <c r="Q80" s="6">
        <f t="shared" si="11"/>
        <v>12.9</v>
      </c>
      <c r="R80" s="7"/>
      <c r="S80" s="7"/>
      <c r="T80" s="7" t="str">
        <f t="shared" si="14"/>
        <v/>
      </c>
      <c r="U80" s="7"/>
      <c r="V80">
        <f t="shared" si="15"/>
        <v>0</v>
      </c>
      <c r="W80" s="3">
        <f t="shared" si="16"/>
        <v>0</v>
      </c>
      <c r="X80" s="3">
        <f t="shared" si="17"/>
        <v>0</v>
      </c>
    </row>
    <row r="81" spans="1:24" x14ac:dyDescent="0.2">
      <c r="A81" s="1">
        <v>0.32291666666677099</v>
      </c>
      <c r="B81">
        <v>2</v>
      </c>
      <c r="E81">
        <v>9</v>
      </c>
      <c r="F81">
        <v>5</v>
      </c>
      <c r="H81">
        <v>2</v>
      </c>
      <c r="I81" s="2"/>
      <c r="J81" s="4">
        <v>21</v>
      </c>
      <c r="K81" s="5">
        <v>2013</v>
      </c>
      <c r="L81" s="5">
        <v>6</v>
      </c>
      <c r="M81" s="5">
        <v>16</v>
      </c>
      <c r="N81" s="3" t="str">
        <f t="shared" si="13"/>
        <v>2013,6,16</v>
      </c>
      <c r="O81" t="s">
        <v>21</v>
      </c>
      <c r="P81">
        <f t="shared" si="12"/>
        <v>0.35</v>
      </c>
      <c r="Q81" s="6">
        <f t="shared" si="11"/>
        <v>13.25</v>
      </c>
      <c r="R81" s="7"/>
      <c r="S81" s="7"/>
      <c r="T81" s="7" t="str">
        <f t="shared" si="14"/>
        <v/>
      </c>
      <c r="U81" s="7"/>
      <c r="V81">
        <f t="shared" si="15"/>
        <v>0</v>
      </c>
      <c r="W81" s="3">
        <f t="shared" si="16"/>
        <v>0</v>
      </c>
      <c r="X81" s="3">
        <f t="shared" si="17"/>
        <v>0</v>
      </c>
    </row>
    <row r="82" spans="1:24" x14ac:dyDescent="0.2">
      <c r="A82" s="1">
        <v>0.33333333333344101</v>
      </c>
      <c r="B82">
        <v>2</v>
      </c>
      <c r="E82">
        <v>1</v>
      </c>
      <c r="F82">
        <v>3</v>
      </c>
      <c r="I82" s="2"/>
      <c r="J82" s="4">
        <v>284</v>
      </c>
      <c r="K82" s="5">
        <v>2013</v>
      </c>
      <c r="L82" s="5">
        <v>6</v>
      </c>
      <c r="M82" s="5">
        <v>16</v>
      </c>
      <c r="N82" s="3" t="str">
        <f t="shared" si="13"/>
        <v>2013,6,16</v>
      </c>
      <c r="O82" t="s">
        <v>21</v>
      </c>
      <c r="P82">
        <f t="shared" si="12"/>
        <v>4.7333333333333334</v>
      </c>
      <c r="Q82" s="6">
        <f t="shared" si="11"/>
        <v>17.983333333333334</v>
      </c>
      <c r="R82" s="7"/>
      <c r="S82" s="7"/>
      <c r="T82" s="7" t="str">
        <f t="shared" si="14"/>
        <v/>
      </c>
      <c r="U82" s="7"/>
      <c r="V82">
        <f t="shared" si="15"/>
        <v>0</v>
      </c>
      <c r="W82" s="3">
        <f t="shared" si="16"/>
        <v>0</v>
      </c>
      <c r="X82" s="3">
        <f t="shared" si="17"/>
        <v>0</v>
      </c>
    </row>
    <row r="83" spans="1:24" x14ac:dyDescent="0.2">
      <c r="A83" s="1">
        <v>0.34375000000011202</v>
      </c>
      <c r="B83">
        <v>2</v>
      </c>
      <c r="E83">
        <v>1</v>
      </c>
      <c r="I83" s="2"/>
      <c r="J83" s="4">
        <v>443</v>
      </c>
      <c r="K83" s="5">
        <v>2013</v>
      </c>
      <c r="L83" s="5">
        <v>6</v>
      </c>
      <c r="M83" s="5">
        <v>16</v>
      </c>
      <c r="N83" s="3" t="str">
        <f t="shared" si="13"/>
        <v>2013,6,16</v>
      </c>
      <c r="O83" t="s">
        <v>21</v>
      </c>
      <c r="P83">
        <f t="shared" si="12"/>
        <v>7.3833333333333337</v>
      </c>
      <c r="Q83" s="6">
        <f t="shared" si="11"/>
        <v>25.366666666666667</v>
      </c>
      <c r="R83" s="7"/>
      <c r="S83" s="7"/>
      <c r="T83" s="7" t="str">
        <f t="shared" si="14"/>
        <v/>
      </c>
      <c r="U83" s="7"/>
      <c r="V83">
        <f t="shared" si="15"/>
        <v>0</v>
      </c>
      <c r="W83" s="3">
        <f t="shared" si="16"/>
        <v>0</v>
      </c>
      <c r="X83" s="3">
        <f t="shared" si="17"/>
        <v>0</v>
      </c>
    </row>
    <row r="84" spans="1:24" x14ac:dyDescent="0.2">
      <c r="A84" s="1">
        <v>0.35416666666678198</v>
      </c>
      <c r="B84">
        <v>2</v>
      </c>
      <c r="H84">
        <v>1</v>
      </c>
      <c r="I84" s="2"/>
      <c r="J84" s="4">
        <v>19</v>
      </c>
      <c r="K84" s="5">
        <v>2013</v>
      </c>
      <c r="L84" s="5">
        <v>6</v>
      </c>
      <c r="M84" s="5">
        <v>16</v>
      </c>
      <c r="N84" s="3" t="str">
        <f t="shared" si="13"/>
        <v>2013,6,16</v>
      </c>
      <c r="O84" t="s">
        <v>21</v>
      </c>
      <c r="P84">
        <f t="shared" si="12"/>
        <v>0.31666666666666665</v>
      </c>
      <c r="Q84" s="6">
        <f t="shared" si="11"/>
        <v>25.683333333333334</v>
      </c>
      <c r="R84" s="7"/>
      <c r="S84" s="7"/>
      <c r="T84" s="7" t="str">
        <f t="shared" si="14"/>
        <v/>
      </c>
      <c r="U84" s="7"/>
      <c r="V84">
        <f t="shared" si="15"/>
        <v>0</v>
      </c>
      <c r="W84" s="3">
        <f t="shared" si="16"/>
        <v>0</v>
      </c>
      <c r="X84" s="3">
        <f t="shared" si="17"/>
        <v>0</v>
      </c>
    </row>
    <row r="85" spans="1:24" x14ac:dyDescent="0.2">
      <c r="A85" s="1">
        <v>0.364583333333453</v>
      </c>
      <c r="B85">
        <v>4</v>
      </c>
      <c r="H85">
        <v>1</v>
      </c>
      <c r="I85" s="2"/>
      <c r="J85" s="4">
        <v>24</v>
      </c>
      <c r="K85" s="5">
        <v>2013</v>
      </c>
      <c r="L85" s="5">
        <v>6</v>
      </c>
      <c r="M85" s="5">
        <v>16</v>
      </c>
      <c r="N85" s="3" t="str">
        <f t="shared" si="13"/>
        <v>2013,6,16</v>
      </c>
      <c r="O85" t="s">
        <v>21</v>
      </c>
      <c r="P85">
        <f t="shared" si="12"/>
        <v>0.4</v>
      </c>
      <c r="Q85" s="6">
        <f t="shared" si="11"/>
        <v>26.083333333333332</v>
      </c>
      <c r="R85" s="7"/>
      <c r="S85" s="7"/>
      <c r="T85" s="7" t="str">
        <f t="shared" si="14"/>
        <v/>
      </c>
      <c r="U85" s="7"/>
      <c r="V85">
        <f t="shared" si="15"/>
        <v>0</v>
      </c>
      <c r="W85" s="3">
        <f t="shared" si="16"/>
        <v>0</v>
      </c>
      <c r="X85" s="3">
        <f t="shared" si="17"/>
        <v>0</v>
      </c>
    </row>
    <row r="86" spans="1:24" x14ac:dyDescent="0.2">
      <c r="A86" s="1">
        <v>0.37500000000012301</v>
      </c>
      <c r="B86">
        <v>10</v>
      </c>
      <c r="E86">
        <v>1</v>
      </c>
      <c r="I86" s="2"/>
      <c r="J86" s="4">
        <v>420</v>
      </c>
      <c r="K86" s="5">
        <v>2013</v>
      </c>
      <c r="L86" s="5">
        <v>6</v>
      </c>
      <c r="M86" s="5">
        <v>16</v>
      </c>
      <c r="N86" s="3" t="str">
        <f t="shared" si="13"/>
        <v>2013,6,16</v>
      </c>
      <c r="O86" t="s">
        <v>21</v>
      </c>
      <c r="P86">
        <f t="shared" si="12"/>
        <v>7</v>
      </c>
      <c r="Q86" s="6">
        <f t="shared" si="11"/>
        <v>33.083333333333329</v>
      </c>
      <c r="R86" s="7"/>
      <c r="S86" s="7"/>
      <c r="T86" s="7" t="str">
        <f t="shared" si="14"/>
        <v/>
      </c>
      <c r="U86" s="7"/>
      <c r="V86">
        <f t="shared" si="15"/>
        <v>0</v>
      </c>
      <c r="W86" s="3">
        <f t="shared" si="16"/>
        <v>0</v>
      </c>
      <c r="X86" s="3">
        <f t="shared" si="17"/>
        <v>0</v>
      </c>
    </row>
    <row r="87" spans="1:24" x14ac:dyDescent="0.2">
      <c r="A87" s="1">
        <v>0.38541666666679397</v>
      </c>
      <c r="B87">
        <v>12</v>
      </c>
      <c r="E87">
        <v>1</v>
      </c>
      <c r="I87" s="2"/>
      <c r="J87" s="4">
        <v>463</v>
      </c>
      <c r="K87" s="5">
        <v>2013</v>
      </c>
      <c r="L87" s="5">
        <v>6</v>
      </c>
      <c r="M87" s="5">
        <v>16</v>
      </c>
      <c r="N87" s="3" t="str">
        <f t="shared" si="13"/>
        <v>2013,6,16</v>
      </c>
      <c r="O87" t="s">
        <v>21</v>
      </c>
      <c r="P87">
        <f t="shared" si="12"/>
        <v>7.7166666666666668</v>
      </c>
      <c r="Q87" s="6">
        <f t="shared" si="11"/>
        <v>40.799999999999997</v>
      </c>
      <c r="R87" s="7"/>
      <c r="S87" s="7"/>
      <c r="T87" s="7" t="str">
        <f t="shared" si="14"/>
        <v/>
      </c>
      <c r="U87" s="7"/>
      <c r="V87">
        <f t="shared" si="15"/>
        <v>0</v>
      </c>
      <c r="W87" s="3">
        <f t="shared" si="16"/>
        <v>0</v>
      </c>
      <c r="X87" s="3">
        <f t="shared" si="17"/>
        <v>0</v>
      </c>
    </row>
    <row r="88" spans="1:24" x14ac:dyDescent="0.2">
      <c r="A88" s="1">
        <v>0.39583333333346399</v>
      </c>
      <c r="B88">
        <v>10</v>
      </c>
      <c r="I88" s="2" t="s">
        <v>38</v>
      </c>
      <c r="J88" s="4">
        <v>139</v>
      </c>
      <c r="K88" s="5">
        <v>2013</v>
      </c>
      <c r="L88" s="5">
        <v>6</v>
      </c>
      <c r="M88" s="5">
        <v>16</v>
      </c>
      <c r="N88" s="3" t="str">
        <f t="shared" si="13"/>
        <v>2013,6,16</v>
      </c>
      <c r="O88" t="s">
        <v>21</v>
      </c>
      <c r="P88">
        <f t="shared" si="12"/>
        <v>2.3166666666666669</v>
      </c>
      <c r="Q88" s="6">
        <f t="shared" si="11"/>
        <v>43.116666666666667</v>
      </c>
      <c r="R88" s="7">
        <v>0.42638888888888887</v>
      </c>
      <c r="S88" s="7">
        <f t="shared" si="18"/>
        <v>0.41666666666666663</v>
      </c>
      <c r="T88" s="7">
        <f t="shared" si="14"/>
        <v>0.45624999999999999</v>
      </c>
      <c r="U88" s="7">
        <f t="shared" si="19"/>
        <v>0.44791666666666663</v>
      </c>
      <c r="V88">
        <f t="shared" si="15"/>
        <v>10</v>
      </c>
      <c r="W88" s="3">
        <f t="shared" si="16"/>
        <v>0.23333333333333334</v>
      </c>
      <c r="X88" s="3">
        <f t="shared" si="17"/>
        <v>10.233333333333333</v>
      </c>
    </row>
    <row r="89" spans="1:24" x14ac:dyDescent="0.2">
      <c r="A89" s="1">
        <v>0.406250000000135</v>
      </c>
      <c r="B89">
        <v>6</v>
      </c>
      <c r="H89">
        <v>1</v>
      </c>
      <c r="I89" s="2"/>
      <c r="J89" s="4">
        <v>503</v>
      </c>
      <c r="K89" s="5">
        <v>2013</v>
      </c>
      <c r="L89" s="5">
        <v>6</v>
      </c>
      <c r="M89" s="5">
        <v>19</v>
      </c>
      <c r="N89" s="3" t="str">
        <f t="shared" si="13"/>
        <v>2013,6,19</v>
      </c>
      <c r="O89" t="s">
        <v>19</v>
      </c>
      <c r="P89">
        <f t="shared" si="12"/>
        <v>8.3833333333333329</v>
      </c>
      <c r="Q89" s="6">
        <f t="shared" si="11"/>
        <v>8.3833333333333329</v>
      </c>
      <c r="R89" s="7"/>
      <c r="S89" s="7"/>
      <c r="T89" s="7" t="str">
        <f t="shared" si="14"/>
        <v/>
      </c>
      <c r="U89" s="7"/>
      <c r="V89">
        <f t="shared" si="15"/>
        <v>0</v>
      </c>
      <c r="W89" s="3">
        <f t="shared" si="16"/>
        <v>0</v>
      </c>
      <c r="X89" s="3">
        <f t="shared" si="17"/>
        <v>0</v>
      </c>
    </row>
    <row r="90" spans="1:24" x14ac:dyDescent="0.2">
      <c r="A90" s="1">
        <v>0.41666666666680502</v>
      </c>
      <c r="B90">
        <v>6</v>
      </c>
      <c r="E90">
        <v>1</v>
      </c>
      <c r="F90">
        <v>1</v>
      </c>
      <c r="H90">
        <v>1</v>
      </c>
      <c r="I90" s="2"/>
      <c r="J90" s="4">
        <v>701</v>
      </c>
      <c r="K90" s="5">
        <v>2013</v>
      </c>
      <c r="L90" s="5">
        <v>6</v>
      </c>
      <c r="M90" s="5">
        <v>19</v>
      </c>
      <c r="N90" s="3" t="str">
        <f t="shared" si="13"/>
        <v>2013,6,19</v>
      </c>
      <c r="O90" t="s">
        <v>19</v>
      </c>
      <c r="P90">
        <f t="shared" si="12"/>
        <v>11.683333333333334</v>
      </c>
      <c r="Q90" s="6">
        <f t="shared" si="11"/>
        <v>20.066666666666666</v>
      </c>
      <c r="R90" s="7"/>
      <c r="S90" s="7"/>
      <c r="T90" s="7" t="str">
        <f t="shared" si="14"/>
        <v/>
      </c>
      <c r="U90" s="7"/>
      <c r="V90">
        <f t="shared" si="15"/>
        <v>0</v>
      </c>
      <c r="W90" s="3">
        <f t="shared" si="16"/>
        <v>0</v>
      </c>
      <c r="X90" s="3">
        <f t="shared" si="17"/>
        <v>0</v>
      </c>
    </row>
    <row r="91" spans="1:24" x14ac:dyDescent="0.2">
      <c r="A91" s="1">
        <v>0.42708333333347598</v>
      </c>
      <c r="B91">
        <v>4</v>
      </c>
      <c r="E91">
        <v>1</v>
      </c>
      <c r="F91">
        <v>1</v>
      </c>
      <c r="H91">
        <v>1</v>
      </c>
      <c r="I91" s="2"/>
      <c r="J91" s="4">
        <v>493</v>
      </c>
      <c r="K91" s="5">
        <v>2013</v>
      </c>
      <c r="L91" s="5">
        <v>6</v>
      </c>
      <c r="M91" s="5">
        <v>19</v>
      </c>
      <c r="N91" s="3" t="str">
        <f t="shared" si="13"/>
        <v>2013,6,19</v>
      </c>
      <c r="O91" t="s">
        <v>19</v>
      </c>
      <c r="P91">
        <f t="shared" si="12"/>
        <v>8.2166666666666668</v>
      </c>
      <c r="Q91" s="6">
        <f t="shared" si="11"/>
        <v>28.283333333333331</v>
      </c>
      <c r="R91" s="7"/>
      <c r="S91" s="7"/>
      <c r="T91" s="7" t="str">
        <f t="shared" si="14"/>
        <v/>
      </c>
      <c r="U91" s="7"/>
      <c r="V91">
        <f t="shared" si="15"/>
        <v>0</v>
      </c>
      <c r="W91" s="3">
        <f t="shared" si="16"/>
        <v>0</v>
      </c>
      <c r="X91" s="3">
        <f t="shared" si="17"/>
        <v>0</v>
      </c>
    </row>
    <row r="92" spans="1:24" x14ac:dyDescent="0.2">
      <c r="A92" s="1">
        <v>0.43750000000014599</v>
      </c>
      <c r="B92">
        <v>2</v>
      </c>
      <c r="E92">
        <v>1</v>
      </c>
      <c r="F92">
        <v>1</v>
      </c>
      <c r="I92" s="2"/>
      <c r="J92" s="4">
        <v>441</v>
      </c>
      <c r="K92" s="5">
        <v>2013</v>
      </c>
      <c r="L92" s="5">
        <v>6</v>
      </c>
      <c r="M92" s="5">
        <v>19</v>
      </c>
      <c r="N92" s="3" t="str">
        <f t="shared" si="13"/>
        <v>2013,6,19</v>
      </c>
      <c r="O92" t="s">
        <v>19</v>
      </c>
      <c r="P92">
        <f t="shared" si="12"/>
        <v>7.35</v>
      </c>
      <c r="Q92" s="6">
        <f t="shared" si="11"/>
        <v>35.633333333333333</v>
      </c>
      <c r="R92" s="7"/>
      <c r="S92" s="7"/>
      <c r="T92" s="7" t="str">
        <f t="shared" si="14"/>
        <v/>
      </c>
      <c r="U92" s="7"/>
      <c r="V92">
        <f t="shared" si="15"/>
        <v>0</v>
      </c>
      <c r="W92" s="3">
        <f t="shared" si="16"/>
        <v>0</v>
      </c>
      <c r="X92" s="3">
        <f t="shared" si="17"/>
        <v>0</v>
      </c>
    </row>
    <row r="93" spans="1:24" x14ac:dyDescent="0.2">
      <c r="A93" s="1">
        <v>0.44791666666681701</v>
      </c>
      <c r="E93">
        <v>1</v>
      </c>
      <c r="I93" s="2"/>
      <c r="J93" s="4">
        <v>253</v>
      </c>
      <c r="K93" s="5">
        <v>2013</v>
      </c>
      <c r="L93" s="5">
        <v>6</v>
      </c>
      <c r="M93" s="5">
        <v>19</v>
      </c>
      <c r="N93" s="3" t="str">
        <f t="shared" si="13"/>
        <v>2013,6,19</v>
      </c>
      <c r="O93" t="s">
        <v>19</v>
      </c>
      <c r="P93">
        <f t="shared" si="12"/>
        <v>4.2166666666666668</v>
      </c>
      <c r="Q93" s="6">
        <f t="shared" si="11"/>
        <v>39.85</v>
      </c>
      <c r="R93" s="7"/>
      <c r="S93" s="7"/>
      <c r="T93" s="7" t="str">
        <f t="shared" si="14"/>
        <v/>
      </c>
      <c r="U93" s="7"/>
      <c r="V93">
        <f t="shared" si="15"/>
        <v>0</v>
      </c>
      <c r="W93" s="3">
        <f t="shared" si="16"/>
        <v>0</v>
      </c>
      <c r="X93" s="3">
        <f t="shared" si="17"/>
        <v>0</v>
      </c>
    </row>
    <row r="94" spans="1:24" x14ac:dyDescent="0.2">
      <c r="A94" s="1">
        <v>0.45833333333333331</v>
      </c>
      <c r="E94">
        <v>1</v>
      </c>
      <c r="I94" s="2"/>
      <c r="J94" s="4">
        <v>307</v>
      </c>
      <c r="K94" s="5">
        <v>2013</v>
      </c>
      <c r="L94" s="5">
        <v>6</v>
      </c>
      <c r="M94" s="5">
        <v>19</v>
      </c>
      <c r="N94" s="3" t="str">
        <f t="shared" si="13"/>
        <v>2013,6,19</v>
      </c>
      <c r="O94" t="s">
        <v>19</v>
      </c>
      <c r="P94">
        <f t="shared" si="12"/>
        <v>5.1166666666666663</v>
      </c>
      <c r="Q94" s="6">
        <f t="shared" si="11"/>
        <v>44.966666666666669</v>
      </c>
      <c r="R94" s="7"/>
      <c r="S94" s="7"/>
      <c r="T94" s="7" t="str">
        <f t="shared" si="14"/>
        <v/>
      </c>
      <c r="U94" s="7"/>
      <c r="V94">
        <f t="shared" si="15"/>
        <v>0</v>
      </c>
      <c r="W94" s="3">
        <f t="shared" si="16"/>
        <v>0</v>
      </c>
      <c r="X94" s="3">
        <f t="shared" si="17"/>
        <v>0</v>
      </c>
    </row>
    <row r="95" spans="1:24" x14ac:dyDescent="0.2">
      <c r="A95" s="1">
        <v>0.46875</v>
      </c>
      <c r="I95" s="2" t="s">
        <v>39</v>
      </c>
      <c r="J95" s="4">
        <v>409</v>
      </c>
      <c r="K95" s="5">
        <v>2013</v>
      </c>
      <c r="L95" s="5">
        <v>6</v>
      </c>
      <c r="M95" s="5">
        <v>19</v>
      </c>
      <c r="N95" s="3" t="str">
        <f t="shared" si="13"/>
        <v>2013,6,19</v>
      </c>
      <c r="O95" t="s">
        <v>19</v>
      </c>
      <c r="P95">
        <f t="shared" si="12"/>
        <v>6.8166666666666664</v>
      </c>
      <c r="Q95" s="6">
        <f t="shared" si="11"/>
        <v>51.783333333333331</v>
      </c>
      <c r="R95" s="7">
        <v>0.30486111111111108</v>
      </c>
      <c r="S95" s="7">
        <f t="shared" si="18"/>
        <v>0.30208333333333331</v>
      </c>
      <c r="T95" s="7">
        <f t="shared" si="14"/>
        <v>0.34027777777777773</v>
      </c>
      <c r="U95" s="7">
        <f t="shared" si="19"/>
        <v>0.33333333333333331</v>
      </c>
      <c r="V95">
        <f t="shared" si="15"/>
        <v>7</v>
      </c>
      <c r="W95" s="3">
        <f t="shared" si="16"/>
        <v>0.31666666666666665</v>
      </c>
      <c r="X95" s="3">
        <f t="shared" si="17"/>
        <v>7.3166666666666664</v>
      </c>
    </row>
    <row r="96" spans="1:24" x14ac:dyDescent="0.2">
      <c r="A96" s="1">
        <v>0.479166666666828</v>
      </c>
      <c r="H96">
        <v>1</v>
      </c>
      <c r="I96" s="2"/>
      <c r="J96" s="4">
        <v>322</v>
      </c>
      <c r="K96" s="5">
        <v>2013</v>
      </c>
      <c r="L96" s="5">
        <v>6</v>
      </c>
      <c r="M96" s="5">
        <v>22</v>
      </c>
      <c r="N96" s="3" t="str">
        <f t="shared" si="13"/>
        <v>2013,6,22</v>
      </c>
      <c r="O96" t="s">
        <v>26</v>
      </c>
      <c r="P96">
        <f t="shared" si="12"/>
        <v>5.3666666666666663</v>
      </c>
      <c r="Q96" s="6">
        <f t="shared" si="11"/>
        <v>5.3666666666666663</v>
      </c>
      <c r="R96" s="7"/>
      <c r="S96" s="7"/>
      <c r="T96" s="7" t="str">
        <f t="shared" si="14"/>
        <v/>
      </c>
      <c r="U96" s="7"/>
      <c r="V96">
        <f t="shared" si="15"/>
        <v>0</v>
      </c>
      <c r="W96" s="3">
        <f t="shared" si="16"/>
        <v>0</v>
      </c>
      <c r="X96" s="3">
        <f t="shared" si="17"/>
        <v>0</v>
      </c>
    </row>
    <row r="97" spans="1:24" x14ac:dyDescent="0.2">
      <c r="A97" s="1">
        <v>0.48958333333349902</v>
      </c>
      <c r="H97">
        <v>2</v>
      </c>
      <c r="I97" s="2"/>
      <c r="J97" s="4">
        <v>665</v>
      </c>
      <c r="K97" s="5">
        <v>2013</v>
      </c>
      <c r="L97" s="5">
        <v>6</v>
      </c>
      <c r="M97" s="5">
        <v>22</v>
      </c>
      <c r="N97" s="3" t="str">
        <f t="shared" si="13"/>
        <v>2013,6,22</v>
      </c>
      <c r="O97" t="s">
        <v>26</v>
      </c>
      <c r="P97">
        <f t="shared" si="12"/>
        <v>11.083333333333334</v>
      </c>
      <c r="Q97" s="6">
        <f t="shared" si="11"/>
        <v>16.45</v>
      </c>
      <c r="R97" s="7"/>
      <c r="S97" s="7"/>
      <c r="T97" s="7" t="str">
        <f t="shared" si="14"/>
        <v/>
      </c>
      <c r="U97" s="7"/>
      <c r="V97">
        <f t="shared" si="15"/>
        <v>0</v>
      </c>
      <c r="W97" s="3">
        <f t="shared" si="16"/>
        <v>0</v>
      </c>
      <c r="X97" s="3">
        <f t="shared" si="17"/>
        <v>0</v>
      </c>
    </row>
    <row r="98" spans="1:24" x14ac:dyDescent="0.2">
      <c r="I98" s="2"/>
      <c r="J98" s="4">
        <v>877</v>
      </c>
      <c r="K98" s="5">
        <v>2013</v>
      </c>
      <c r="L98" s="5">
        <v>6</v>
      </c>
      <c r="M98" s="5">
        <v>22</v>
      </c>
      <c r="N98" s="3" t="str">
        <f t="shared" si="13"/>
        <v>2013,6,22</v>
      </c>
      <c r="O98" t="s">
        <v>26</v>
      </c>
      <c r="P98">
        <f t="shared" si="12"/>
        <v>14.616666666666667</v>
      </c>
      <c r="Q98" s="6">
        <f t="shared" ref="Q98:Q161" si="20">IF(O97=O98, Q97+P98,P98)</f>
        <v>31.066666666666666</v>
      </c>
      <c r="R98" s="7"/>
      <c r="S98" s="7"/>
      <c r="T98" s="7" t="str">
        <f t="shared" si="14"/>
        <v/>
      </c>
      <c r="U98" s="7"/>
      <c r="V98">
        <f t="shared" si="15"/>
        <v>0</v>
      </c>
      <c r="W98" s="3">
        <f t="shared" si="16"/>
        <v>0</v>
      </c>
      <c r="X98" s="3">
        <f t="shared" si="17"/>
        <v>0</v>
      </c>
    </row>
    <row r="99" spans="1:24" x14ac:dyDescent="0.2">
      <c r="I99" s="2"/>
      <c r="J99" s="4">
        <v>435</v>
      </c>
      <c r="K99" s="5">
        <v>2013</v>
      </c>
      <c r="L99" s="5">
        <v>6</v>
      </c>
      <c r="M99" s="5">
        <v>22</v>
      </c>
      <c r="N99" s="3" t="str">
        <f t="shared" si="13"/>
        <v>2013,6,22</v>
      </c>
      <c r="O99" t="s">
        <v>26</v>
      </c>
      <c r="P99">
        <f t="shared" si="12"/>
        <v>7.25</v>
      </c>
      <c r="Q99" s="6">
        <f t="shared" si="20"/>
        <v>38.316666666666663</v>
      </c>
      <c r="R99" s="7"/>
      <c r="S99" s="7"/>
      <c r="T99" s="7" t="str">
        <f t="shared" si="14"/>
        <v/>
      </c>
      <c r="U99" s="7"/>
      <c r="V99">
        <f t="shared" si="15"/>
        <v>0</v>
      </c>
      <c r="W99" s="3">
        <f t="shared" si="16"/>
        <v>0</v>
      </c>
      <c r="X99" s="3">
        <f t="shared" si="17"/>
        <v>0</v>
      </c>
    </row>
    <row r="100" spans="1:24" x14ac:dyDescent="0.2">
      <c r="I100" s="2"/>
      <c r="J100" s="4">
        <v>529</v>
      </c>
      <c r="K100" s="5">
        <v>2013</v>
      </c>
      <c r="L100" s="5">
        <v>6</v>
      </c>
      <c r="M100" s="5">
        <v>22</v>
      </c>
      <c r="N100" s="3" t="str">
        <f t="shared" si="13"/>
        <v>2013,6,22</v>
      </c>
      <c r="O100" t="s">
        <v>26</v>
      </c>
      <c r="P100">
        <f t="shared" si="12"/>
        <v>8.8166666666666664</v>
      </c>
      <c r="Q100" s="6">
        <f t="shared" si="20"/>
        <v>47.133333333333326</v>
      </c>
      <c r="R100" s="7"/>
      <c r="S100" s="7"/>
      <c r="T100" s="7" t="str">
        <f t="shared" si="14"/>
        <v/>
      </c>
      <c r="U100" s="7"/>
      <c r="V100">
        <f t="shared" si="15"/>
        <v>0</v>
      </c>
      <c r="W100" s="3">
        <f t="shared" si="16"/>
        <v>0</v>
      </c>
      <c r="X100" s="3">
        <f t="shared" si="17"/>
        <v>0</v>
      </c>
    </row>
    <row r="101" spans="1:24" x14ac:dyDescent="0.2">
      <c r="I101" s="2" t="s">
        <v>40</v>
      </c>
      <c r="J101" s="4">
        <v>605</v>
      </c>
      <c r="K101" s="5">
        <v>2013</v>
      </c>
      <c r="L101" s="5">
        <v>6</v>
      </c>
      <c r="M101" s="5">
        <v>22</v>
      </c>
      <c r="N101" s="3" t="str">
        <f t="shared" si="13"/>
        <v>2013,6,22</v>
      </c>
      <c r="O101" t="s">
        <v>26</v>
      </c>
      <c r="P101">
        <f t="shared" si="12"/>
        <v>10.083333333333334</v>
      </c>
      <c r="Q101" s="6">
        <f t="shared" si="20"/>
        <v>57.216666666666661</v>
      </c>
      <c r="R101" s="7">
        <v>0.65069444444444446</v>
      </c>
      <c r="S101" s="7">
        <f t="shared" si="18"/>
        <v>0.64583333333333326</v>
      </c>
      <c r="T101" s="7">
        <f t="shared" si="14"/>
        <v>0.69027777777777777</v>
      </c>
      <c r="U101" s="7">
        <f t="shared" si="19"/>
        <v>0.6875</v>
      </c>
      <c r="V101">
        <f t="shared" si="15"/>
        <v>15</v>
      </c>
      <c r="W101" s="3">
        <f t="shared" si="16"/>
        <v>0.6166666666666667</v>
      </c>
      <c r="X101" s="3">
        <f t="shared" si="17"/>
        <v>15.616666666666667</v>
      </c>
    </row>
    <row r="102" spans="1:24" x14ac:dyDescent="0.2">
      <c r="I102" s="2"/>
      <c r="J102" s="4">
        <v>525</v>
      </c>
      <c r="K102" s="5">
        <v>2013</v>
      </c>
      <c r="L102" s="5">
        <v>6</v>
      </c>
      <c r="M102" s="5">
        <v>26</v>
      </c>
      <c r="N102" s="3" t="str">
        <f t="shared" si="13"/>
        <v>2013,6,26</v>
      </c>
      <c r="O102" t="s">
        <v>19</v>
      </c>
      <c r="P102">
        <f t="shared" si="12"/>
        <v>8.75</v>
      </c>
      <c r="Q102" s="6">
        <f t="shared" si="20"/>
        <v>8.75</v>
      </c>
      <c r="R102" s="7"/>
      <c r="S102" s="7"/>
      <c r="T102" s="7" t="str">
        <f t="shared" si="14"/>
        <v/>
      </c>
      <c r="U102" s="7"/>
      <c r="V102">
        <f t="shared" si="15"/>
        <v>0</v>
      </c>
      <c r="W102" s="3">
        <f t="shared" si="16"/>
        <v>0</v>
      </c>
      <c r="X102" s="3">
        <f t="shared" si="17"/>
        <v>0</v>
      </c>
    </row>
    <row r="103" spans="1:24" x14ac:dyDescent="0.2">
      <c r="I103" s="2"/>
      <c r="J103" s="4">
        <v>454</v>
      </c>
      <c r="K103" s="5">
        <v>2013</v>
      </c>
      <c r="L103" s="5">
        <v>6</v>
      </c>
      <c r="M103" s="5">
        <v>26</v>
      </c>
      <c r="N103" s="3" t="str">
        <f t="shared" si="13"/>
        <v>2013,6,26</v>
      </c>
      <c r="O103" t="s">
        <v>19</v>
      </c>
      <c r="P103">
        <f t="shared" si="12"/>
        <v>7.5666666666666664</v>
      </c>
      <c r="Q103" s="6">
        <f t="shared" si="20"/>
        <v>16.316666666666666</v>
      </c>
      <c r="R103" s="7"/>
      <c r="S103" s="7"/>
      <c r="T103" s="7" t="str">
        <f t="shared" si="14"/>
        <v/>
      </c>
      <c r="U103" s="7"/>
      <c r="V103">
        <f t="shared" si="15"/>
        <v>0</v>
      </c>
      <c r="W103" s="3">
        <f t="shared" si="16"/>
        <v>0</v>
      </c>
      <c r="X103" s="3">
        <f t="shared" si="17"/>
        <v>0</v>
      </c>
    </row>
    <row r="104" spans="1:24" x14ac:dyDescent="0.2">
      <c r="I104" s="2"/>
      <c r="J104" s="4">
        <v>45</v>
      </c>
      <c r="K104" s="5">
        <v>2013</v>
      </c>
      <c r="L104" s="5">
        <v>6</v>
      </c>
      <c r="M104" s="5">
        <v>26</v>
      </c>
      <c r="N104" s="3" t="str">
        <f t="shared" si="13"/>
        <v>2013,6,26</v>
      </c>
      <c r="O104" t="s">
        <v>19</v>
      </c>
      <c r="P104">
        <f t="shared" si="12"/>
        <v>0.75</v>
      </c>
      <c r="Q104" s="6">
        <f t="shared" si="20"/>
        <v>17.066666666666666</v>
      </c>
      <c r="R104" s="7"/>
      <c r="S104" s="7"/>
      <c r="T104" s="7" t="str">
        <f t="shared" si="14"/>
        <v/>
      </c>
      <c r="U104" s="7"/>
      <c r="V104">
        <f t="shared" si="15"/>
        <v>0</v>
      </c>
      <c r="W104" s="3">
        <f t="shared" si="16"/>
        <v>0</v>
      </c>
      <c r="X104" s="3">
        <f t="shared" si="17"/>
        <v>0</v>
      </c>
    </row>
    <row r="105" spans="1:24" x14ac:dyDescent="0.2">
      <c r="I105" s="2"/>
      <c r="J105" s="4">
        <v>377</v>
      </c>
      <c r="K105" s="5">
        <v>2013</v>
      </c>
      <c r="L105" s="5">
        <v>6</v>
      </c>
      <c r="M105" s="5">
        <v>26</v>
      </c>
      <c r="N105" s="3" t="str">
        <f t="shared" si="13"/>
        <v>2013,6,26</v>
      </c>
      <c r="O105" t="s">
        <v>19</v>
      </c>
      <c r="P105">
        <f t="shared" si="12"/>
        <v>6.2833333333333332</v>
      </c>
      <c r="Q105" s="6">
        <f t="shared" si="20"/>
        <v>23.35</v>
      </c>
      <c r="R105" s="7"/>
      <c r="S105" s="7"/>
      <c r="T105" s="7" t="str">
        <f t="shared" si="14"/>
        <v/>
      </c>
      <c r="U105" s="7"/>
      <c r="V105">
        <f t="shared" si="15"/>
        <v>0</v>
      </c>
      <c r="W105" s="3">
        <f t="shared" si="16"/>
        <v>0</v>
      </c>
      <c r="X105" s="3">
        <f t="shared" si="17"/>
        <v>0</v>
      </c>
    </row>
    <row r="106" spans="1:24" x14ac:dyDescent="0.2">
      <c r="I106" s="2"/>
      <c r="J106" s="4">
        <v>295</v>
      </c>
      <c r="K106" s="5">
        <v>2013</v>
      </c>
      <c r="L106" s="5">
        <v>6</v>
      </c>
      <c r="M106" s="5">
        <v>26</v>
      </c>
      <c r="N106" s="3" t="str">
        <f t="shared" si="13"/>
        <v>2013,6,26</v>
      </c>
      <c r="O106" t="s">
        <v>19</v>
      </c>
      <c r="P106">
        <f t="shared" si="12"/>
        <v>4.916666666666667</v>
      </c>
      <c r="Q106" s="6">
        <f t="shared" si="20"/>
        <v>28.266666666666669</v>
      </c>
      <c r="R106" s="7"/>
      <c r="S106" s="7"/>
      <c r="T106" s="7" t="str">
        <f t="shared" si="14"/>
        <v/>
      </c>
      <c r="U106" s="7"/>
      <c r="V106">
        <f t="shared" si="15"/>
        <v>0</v>
      </c>
      <c r="W106" s="3">
        <f t="shared" si="16"/>
        <v>0</v>
      </c>
      <c r="X106" s="3">
        <f t="shared" si="17"/>
        <v>0</v>
      </c>
    </row>
    <row r="107" spans="1:24" x14ac:dyDescent="0.2">
      <c r="I107" s="2"/>
      <c r="J107" s="4">
        <v>228</v>
      </c>
      <c r="K107" s="5">
        <v>2013</v>
      </c>
      <c r="L107" s="5">
        <v>6</v>
      </c>
      <c r="M107" s="5">
        <v>26</v>
      </c>
      <c r="N107" s="3" t="str">
        <f t="shared" si="13"/>
        <v>2013,6,26</v>
      </c>
      <c r="O107" t="s">
        <v>19</v>
      </c>
      <c r="P107">
        <f t="shared" si="12"/>
        <v>3.8</v>
      </c>
      <c r="Q107" s="6">
        <f t="shared" si="20"/>
        <v>32.06666666666667</v>
      </c>
      <c r="R107" s="7"/>
      <c r="S107" s="7"/>
      <c r="T107" s="7" t="str">
        <f t="shared" si="14"/>
        <v/>
      </c>
      <c r="U107" s="7"/>
      <c r="V107">
        <f t="shared" si="15"/>
        <v>0</v>
      </c>
      <c r="W107" s="3">
        <f t="shared" si="16"/>
        <v>0</v>
      </c>
      <c r="X107" s="3">
        <f t="shared" si="17"/>
        <v>0</v>
      </c>
    </row>
    <row r="108" spans="1:24" x14ac:dyDescent="0.2">
      <c r="I108" s="2"/>
      <c r="J108" s="4">
        <v>343</v>
      </c>
      <c r="K108" s="5">
        <v>2013</v>
      </c>
      <c r="L108" s="5">
        <v>6</v>
      </c>
      <c r="M108" s="5">
        <v>26</v>
      </c>
      <c r="N108" s="3" t="str">
        <f t="shared" si="13"/>
        <v>2013,6,26</v>
      </c>
      <c r="O108" t="s">
        <v>19</v>
      </c>
      <c r="P108">
        <f t="shared" si="12"/>
        <v>5.7166666666666668</v>
      </c>
      <c r="Q108" s="6">
        <f t="shared" si="20"/>
        <v>37.783333333333339</v>
      </c>
      <c r="R108" s="7"/>
      <c r="S108" s="7"/>
      <c r="T108" s="7" t="str">
        <f t="shared" si="14"/>
        <v/>
      </c>
      <c r="U108" s="7"/>
      <c r="V108">
        <f t="shared" si="15"/>
        <v>0</v>
      </c>
      <c r="W108" s="3">
        <f t="shared" si="16"/>
        <v>0</v>
      </c>
      <c r="X108" s="3">
        <f t="shared" si="17"/>
        <v>0</v>
      </c>
    </row>
    <row r="109" spans="1:24" x14ac:dyDescent="0.2">
      <c r="I109" s="2"/>
      <c r="J109" s="4">
        <v>530</v>
      </c>
      <c r="K109" s="5">
        <v>2013</v>
      </c>
      <c r="L109" s="5">
        <v>6</v>
      </c>
      <c r="M109" s="5">
        <v>26</v>
      </c>
      <c r="N109" s="3" t="str">
        <f t="shared" si="13"/>
        <v>2013,6,26</v>
      </c>
      <c r="O109" t="s">
        <v>19</v>
      </c>
      <c r="P109">
        <f t="shared" si="12"/>
        <v>8.8333333333333339</v>
      </c>
      <c r="Q109" s="6">
        <f t="shared" si="20"/>
        <v>46.616666666666674</v>
      </c>
      <c r="R109" s="7"/>
      <c r="S109" s="7"/>
      <c r="T109" s="7" t="str">
        <f t="shared" si="14"/>
        <v/>
      </c>
      <c r="U109" s="7"/>
      <c r="V109">
        <f t="shared" si="15"/>
        <v>0</v>
      </c>
      <c r="W109" s="3">
        <f t="shared" si="16"/>
        <v>0</v>
      </c>
      <c r="X109" s="3">
        <f t="shared" si="17"/>
        <v>0</v>
      </c>
    </row>
    <row r="110" spans="1:24" x14ac:dyDescent="0.2">
      <c r="I110" s="2"/>
      <c r="J110" s="4">
        <v>83</v>
      </c>
      <c r="K110" s="5">
        <v>2013</v>
      </c>
      <c r="L110" s="5">
        <v>6</v>
      </c>
      <c r="M110" s="5">
        <v>26</v>
      </c>
      <c r="N110" s="3" t="str">
        <f t="shared" si="13"/>
        <v>2013,6,26</v>
      </c>
      <c r="O110" t="s">
        <v>19</v>
      </c>
      <c r="P110">
        <f t="shared" si="12"/>
        <v>1.3833333333333333</v>
      </c>
      <c r="Q110" s="6">
        <f t="shared" si="20"/>
        <v>48.000000000000007</v>
      </c>
      <c r="R110" s="7"/>
      <c r="S110" s="7"/>
      <c r="T110" s="7" t="str">
        <f t="shared" si="14"/>
        <v/>
      </c>
      <c r="U110" s="7"/>
      <c r="V110">
        <f t="shared" si="15"/>
        <v>0</v>
      </c>
      <c r="W110" s="3">
        <f t="shared" si="16"/>
        <v>0</v>
      </c>
      <c r="X110" s="3">
        <f t="shared" si="17"/>
        <v>0</v>
      </c>
    </row>
    <row r="111" spans="1:24" x14ac:dyDescent="0.2">
      <c r="I111" s="2" t="s">
        <v>41</v>
      </c>
      <c r="J111" s="4">
        <v>413</v>
      </c>
      <c r="K111" s="5">
        <v>2013</v>
      </c>
      <c r="L111" s="5">
        <v>6</v>
      </c>
      <c r="M111" s="5">
        <v>26</v>
      </c>
      <c r="N111" s="3" t="str">
        <f t="shared" si="13"/>
        <v>2013,6,26</v>
      </c>
      <c r="O111" t="s">
        <v>19</v>
      </c>
      <c r="P111">
        <f t="shared" si="12"/>
        <v>6.8833333333333337</v>
      </c>
      <c r="Q111" s="6">
        <f t="shared" si="20"/>
        <v>54.88333333333334</v>
      </c>
      <c r="R111" s="7">
        <v>0.30555555555555552</v>
      </c>
      <c r="S111" s="7">
        <f t="shared" si="18"/>
        <v>0.30208333333333331</v>
      </c>
      <c r="T111" s="7">
        <f t="shared" si="14"/>
        <v>0.3430555555555555</v>
      </c>
      <c r="U111" s="7">
        <f t="shared" si="19"/>
        <v>0.33333333333333331</v>
      </c>
      <c r="V111">
        <f t="shared" si="15"/>
        <v>7</v>
      </c>
      <c r="W111" s="3">
        <f t="shared" si="16"/>
        <v>0.33333333333333331</v>
      </c>
      <c r="X111" s="3">
        <f t="shared" si="17"/>
        <v>7.333333333333333</v>
      </c>
    </row>
    <row r="112" spans="1:24" x14ac:dyDescent="0.2">
      <c r="I112" s="2"/>
      <c r="J112" s="4">
        <v>141</v>
      </c>
      <c r="K112" s="5">
        <v>2013</v>
      </c>
      <c r="L112" s="5">
        <v>6</v>
      </c>
      <c r="M112" s="5">
        <v>30</v>
      </c>
      <c r="N112" s="3" t="str">
        <f t="shared" si="13"/>
        <v>2013,6,30</v>
      </c>
      <c r="O112" t="s">
        <v>21</v>
      </c>
      <c r="P112">
        <f t="shared" si="12"/>
        <v>2.35</v>
      </c>
      <c r="Q112" s="6">
        <f t="shared" si="20"/>
        <v>2.35</v>
      </c>
      <c r="R112" s="7"/>
      <c r="S112" s="7"/>
      <c r="T112" s="7" t="str">
        <f t="shared" si="14"/>
        <v/>
      </c>
      <c r="U112" s="7"/>
      <c r="V112">
        <f t="shared" si="15"/>
        <v>0</v>
      </c>
      <c r="W112" s="3">
        <f t="shared" si="16"/>
        <v>0</v>
      </c>
      <c r="X112" s="3">
        <f t="shared" si="17"/>
        <v>0</v>
      </c>
    </row>
    <row r="113" spans="9:24" x14ac:dyDescent="0.2">
      <c r="I113" s="2"/>
      <c r="J113" s="4">
        <v>219</v>
      </c>
      <c r="K113" s="5">
        <v>2013</v>
      </c>
      <c r="L113" s="5">
        <v>6</v>
      </c>
      <c r="M113" s="5">
        <v>30</v>
      </c>
      <c r="N113" s="3" t="str">
        <f t="shared" si="13"/>
        <v>2013,6,30</v>
      </c>
      <c r="O113" t="s">
        <v>21</v>
      </c>
      <c r="P113">
        <f t="shared" si="12"/>
        <v>3.65</v>
      </c>
      <c r="Q113" s="6">
        <f t="shared" si="20"/>
        <v>6</v>
      </c>
      <c r="R113" s="7"/>
      <c r="S113" s="7"/>
      <c r="T113" s="7" t="str">
        <f t="shared" si="14"/>
        <v/>
      </c>
      <c r="U113" s="7"/>
      <c r="V113">
        <f t="shared" si="15"/>
        <v>0</v>
      </c>
      <c r="W113" s="3">
        <f t="shared" si="16"/>
        <v>0</v>
      </c>
      <c r="X113" s="3">
        <f t="shared" si="17"/>
        <v>0</v>
      </c>
    </row>
    <row r="114" spans="9:24" x14ac:dyDescent="0.2">
      <c r="I114" s="2"/>
      <c r="J114" s="4">
        <v>341</v>
      </c>
      <c r="K114" s="5">
        <v>2013</v>
      </c>
      <c r="L114" s="5">
        <v>6</v>
      </c>
      <c r="M114" s="5">
        <v>30</v>
      </c>
      <c r="N114" s="3" t="str">
        <f t="shared" si="13"/>
        <v>2013,6,30</v>
      </c>
      <c r="O114" t="s">
        <v>21</v>
      </c>
      <c r="P114">
        <f t="shared" si="12"/>
        <v>5.6833333333333336</v>
      </c>
      <c r="Q114" s="6">
        <f t="shared" si="20"/>
        <v>11.683333333333334</v>
      </c>
      <c r="R114" s="7"/>
      <c r="S114" s="7"/>
      <c r="T114" s="7" t="str">
        <f t="shared" si="14"/>
        <v/>
      </c>
      <c r="U114" s="7"/>
      <c r="V114">
        <f t="shared" si="15"/>
        <v>0</v>
      </c>
      <c r="W114" s="3">
        <f t="shared" si="16"/>
        <v>0</v>
      </c>
      <c r="X114" s="3">
        <f t="shared" si="17"/>
        <v>0</v>
      </c>
    </row>
    <row r="115" spans="9:24" x14ac:dyDescent="0.2">
      <c r="I115" s="2"/>
      <c r="J115" s="4">
        <v>496</v>
      </c>
      <c r="K115" s="5">
        <v>2013</v>
      </c>
      <c r="L115" s="5">
        <v>6</v>
      </c>
      <c r="M115" s="5">
        <v>30</v>
      </c>
      <c r="N115" s="3" t="str">
        <f t="shared" si="13"/>
        <v>2013,6,30</v>
      </c>
      <c r="O115" t="s">
        <v>21</v>
      </c>
      <c r="P115">
        <f t="shared" si="12"/>
        <v>8.2666666666666675</v>
      </c>
      <c r="Q115" s="6">
        <f t="shared" si="20"/>
        <v>19.950000000000003</v>
      </c>
      <c r="R115" s="7"/>
      <c r="S115" s="7"/>
      <c r="T115" s="7" t="str">
        <f t="shared" si="14"/>
        <v/>
      </c>
      <c r="U115" s="7"/>
      <c r="V115">
        <f t="shared" si="15"/>
        <v>0</v>
      </c>
      <c r="W115" s="3">
        <f t="shared" si="16"/>
        <v>0</v>
      </c>
      <c r="X115" s="3">
        <f t="shared" si="17"/>
        <v>0</v>
      </c>
    </row>
    <row r="116" spans="9:24" x14ac:dyDescent="0.2">
      <c r="I116" s="2"/>
      <c r="J116" s="4">
        <v>72</v>
      </c>
      <c r="K116" s="5">
        <v>2013</v>
      </c>
      <c r="L116" s="5">
        <v>6</v>
      </c>
      <c r="M116" s="5">
        <v>30</v>
      </c>
      <c r="N116" s="3" t="str">
        <f t="shared" si="13"/>
        <v>2013,6,30</v>
      </c>
      <c r="O116" t="s">
        <v>21</v>
      </c>
      <c r="P116">
        <f t="shared" ref="P116:P179" si="21">J116/60</f>
        <v>1.2</v>
      </c>
      <c r="Q116" s="6">
        <f t="shared" si="20"/>
        <v>21.150000000000002</v>
      </c>
      <c r="R116" s="7"/>
      <c r="S116" s="7"/>
      <c r="T116" s="7" t="str">
        <f t="shared" si="14"/>
        <v/>
      </c>
      <c r="U116" s="7"/>
      <c r="V116">
        <f t="shared" si="15"/>
        <v>0</v>
      </c>
      <c r="W116" s="3">
        <f t="shared" si="16"/>
        <v>0</v>
      </c>
      <c r="X116" s="3">
        <f t="shared" si="17"/>
        <v>0</v>
      </c>
    </row>
    <row r="117" spans="9:24" x14ac:dyDescent="0.2">
      <c r="I117" s="2"/>
      <c r="J117" s="4">
        <v>976</v>
      </c>
      <c r="K117" s="5">
        <v>2013</v>
      </c>
      <c r="L117" s="5">
        <v>6</v>
      </c>
      <c r="M117" s="5">
        <v>30</v>
      </c>
      <c r="N117" s="3" t="str">
        <f t="shared" si="13"/>
        <v>2013,6,30</v>
      </c>
      <c r="O117" t="s">
        <v>21</v>
      </c>
      <c r="P117">
        <f t="shared" si="21"/>
        <v>16.266666666666666</v>
      </c>
      <c r="Q117" s="6">
        <f t="shared" si="20"/>
        <v>37.416666666666671</v>
      </c>
      <c r="R117" s="7"/>
      <c r="S117" s="7"/>
      <c r="T117" s="7" t="str">
        <f t="shared" si="14"/>
        <v/>
      </c>
      <c r="U117" s="7"/>
      <c r="V117">
        <f t="shared" si="15"/>
        <v>0</v>
      </c>
      <c r="W117" s="3">
        <f t="shared" si="16"/>
        <v>0</v>
      </c>
      <c r="X117" s="3">
        <f t="shared" si="17"/>
        <v>0</v>
      </c>
    </row>
    <row r="118" spans="9:24" x14ac:dyDescent="0.2">
      <c r="I118" s="2" t="s">
        <v>42</v>
      </c>
      <c r="J118" s="4">
        <v>245</v>
      </c>
      <c r="K118" s="5">
        <v>2013</v>
      </c>
      <c r="L118" s="5">
        <v>6</v>
      </c>
      <c r="M118" s="5">
        <v>30</v>
      </c>
      <c r="N118" s="3" t="str">
        <f t="shared" si="13"/>
        <v>2013,6,30</v>
      </c>
      <c r="O118" t="s">
        <v>21</v>
      </c>
      <c r="P118">
        <f t="shared" si="21"/>
        <v>4.083333333333333</v>
      </c>
      <c r="Q118" s="6">
        <f t="shared" si="20"/>
        <v>41.500000000000007</v>
      </c>
      <c r="R118" s="7">
        <v>0.375</v>
      </c>
      <c r="S118" s="7">
        <f t="shared" si="18"/>
        <v>0.375</v>
      </c>
      <c r="T118" s="7">
        <f t="shared" si="14"/>
        <v>0.40347222222222223</v>
      </c>
      <c r="U118" s="7">
        <f t="shared" si="19"/>
        <v>0.39583333333333331</v>
      </c>
      <c r="V118">
        <f t="shared" si="15"/>
        <v>9</v>
      </c>
      <c r="W118" s="3">
        <f t="shared" si="16"/>
        <v>0</v>
      </c>
      <c r="X118" s="3">
        <f t="shared" si="17"/>
        <v>9</v>
      </c>
    </row>
    <row r="119" spans="9:24" x14ac:dyDescent="0.2">
      <c r="I119" s="2"/>
      <c r="J119" s="4">
        <v>432</v>
      </c>
      <c r="K119" s="5">
        <v>2013</v>
      </c>
      <c r="L119" s="5">
        <v>7</v>
      </c>
      <c r="M119" s="5">
        <v>3</v>
      </c>
      <c r="N119" s="3" t="str">
        <f t="shared" si="13"/>
        <v>2013,7,3</v>
      </c>
      <c r="O119" t="s">
        <v>19</v>
      </c>
      <c r="P119">
        <f t="shared" si="21"/>
        <v>7.2</v>
      </c>
      <c r="Q119" s="6">
        <f t="shared" si="20"/>
        <v>7.2</v>
      </c>
      <c r="R119" s="7"/>
      <c r="S119" s="7"/>
      <c r="T119" s="7" t="str">
        <f t="shared" si="14"/>
        <v/>
      </c>
      <c r="U119" s="7"/>
      <c r="V119">
        <f t="shared" si="15"/>
        <v>0</v>
      </c>
      <c r="W119" s="3">
        <f t="shared" si="16"/>
        <v>0</v>
      </c>
      <c r="X119" s="3">
        <f t="shared" si="17"/>
        <v>0</v>
      </c>
    </row>
    <row r="120" spans="9:24" x14ac:dyDescent="0.2">
      <c r="I120" s="2"/>
      <c r="J120" s="4">
        <v>186</v>
      </c>
      <c r="K120" s="5">
        <v>2013</v>
      </c>
      <c r="L120" s="5">
        <v>7</v>
      </c>
      <c r="M120" s="5">
        <v>3</v>
      </c>
      <c r="N120" s="3" t="str">
        <f t="shared" si="13"/>
        <v>2013,7,3</v>
      </c>
      <c r="O120" t="s">
        <v>19</v>
      </c>
      <c r="P120">
        <f t="shared" si="21"/>
        <v>3.1</v>
      </c>
      <c r="Q120" s="6">
        <f t="shared" si="20"/>
        <v>10.3</v>
      </c>
      <c r="R120" s="7"/>
      <c r="S120" s="7"/>
      <c r="T120" s="7" t="str">
        <f t="shared" si="14"/>
        <v/>
      </c>
      <c r="U120" s="7"/>
      <c r="V120">
        <f t="shared" si="15"/>
        <v>0</v>
      </c>
      <c r="W120" s="3">
        <f t="shared" si="16"/>
        <v>0</v>
      </c>
      <c r="X120" s="3">
        <f t="shared" si="17"/>
        <v>0</v>
      </c>
    </row>
    <row r="121" spans="9:24" x14ac:dyDescent="0.2">
      <c r="I121" s="2"/>
      <c r="J121" s="4">
        <v>438</v>
      </c>
      <c r="K121" s="5">
        <v>2013</v>
      </c>
      <c r="L121" s="5">
        <v>7</v>
      </c>
      <c r="M121" s="5">
        <v>3</v>
      </c>
      <c r="N121" s="3" t="str">
        <f t="shared" si="13"/>
        <v>2013,7,3</v>
      </c>
      <c r="O121" t="s">
        <v>19</v>
      </c>
      <c r="P121">
        <f t="shared" si="21"/>
        <v>7.3</v>
      </c>
      <c r="Q121" s="6">
        <f t="shared" si="20"/>
        <v>17.600000000000001</v>
      </c>
      <c r="R121" s="7"/>
      <c r="S121" s="7"/>
      <c r="T121" s="7" t="str">
        <f t="shared" si="14"/>
        <v/>
      </c>
      <c r="U121" s="7"/>
      <c r="V121">
        <f t="shared" si="15"/>
        <v>0</v>
      </c>
      <c r="W121" s="3">
        <f t="shared" si="16"/>
        <v>0</v>
      </c>
      <c r="X121" s="3">
        <f t="shared" si="17"/>
        <v>0</v>
      </c>
    </row>
    <row r="122" spans="9:24" x14ac:dyDescent="0.2">
      <c r="I122" s="2"/>
      <c r="J122" s="4">
        <v>311</v>
      </c>
      <c r="K122" s="5">
        <v>2013</v>
      </c>
      <c r="L122" s="5">
        <v>7</v>
      </c>
      <c r="M122" s="5">
        <v>3</v>
      </c>
      <c r="N122" s="3" t="str">
        <f t="shared" si="13"/>
        <v>2013,7,3</v>
      </c>
      <c r="O122" t="s">
        <v>19</v>
      </c>
      <c r="P122">
        <f t="shared" si="21"/>
        <v>5.1833333333333336</v>
      </c>
      <c r="Q122" s="6">
        <f t="shared" si="20"/>
        <v>22.783333333333335</v>
      </c>
      <c r="R122" s="7"/>
      <c r="S122" s="7"/>
      <c r="T122" s="7" t="str">
        <f t="shared" si="14"/>
        <v/>
      </c>
      <c r="U122" s="7"/>
      <c r="V122">
        <f t="shared" si="15"/>
        <v>0</v>
      </c>
      <c r="W122" s="3">
        <f t="shared" si="16"/>
        <v>0</v>
      </c>
      <c r="X122" s="3">
        <f t="shared" si="17"/>
        <v>0</v>
      </c>
    </row>
    <row r="123" spans="9:24" x14ac:dyDescent="0.2">
      <c r="I123" s="2"/>
      <c r="J123" s="4">
        <v>179</v>
      </c>
      <c r="K123" s="5">
        <v>2013</v>
      </c>
      <c r="L123" s="5">
        <v>7</v>
      </c>
      <c r="M123" s="5">
        <v>3</v>
      </c>
      <c r="N123" s="3" t="str">
        <f t="shared" si="13"/>
        <v>2013,7,3</v>
      </c>
      <c r="O123" t="s">
        <v>19</v>
      </c>
      <c r="P123">
        <f t="shared" si="21"/>
        <v>2.9833333333333334</v>
      </c>
      <c r="Q123" s="6">
        <f t="shared" si="20"/>
        <v>25.766666666666669</v>
      </c>
      <c r="R123" s="7"/>
      <c r="S123" s="7"/>
      <c r="T123" s="7" t="str">
        <f t="shared" si="14"/>
        <v/>
      </c>
      <c r="U123" s="7"/>
      <c r="V123">
        <f t="shared" si="15"/>
        <v>0</v>
      </c>
      <c r="W123" s="3">
        <f t="shared" si="16"/>
        <v>0</v>
      </c>
      <c r="X123" s="3">
        <f t="shared" si="17"/>
        <v>0</v>
      </c>
    </row>
    <row r="124" spans="9:24" x14ac:dyDescent="0.2">
      <c r="I124" s="2"/>
      <c r="J124" s="4">
        <v>162</v>
      </c>
      <c r="K124" s="5">
        <v>2013</v>
      </c>
      <c r="L124" s="5">
        <v>7</v>
      </c>
      <c r="M124" s="5">
        <v>3</v>
      </c>
      <c r="N124" s="3" t="str">
        <f t="shared" si="13"/>
        <v>2013,7,3</v>
      </c>
      <c r="O124" t="s">
        <v>19</v>
      </c>
      <c r="P124">
        <f t="shared" si="21"/>
        <v>2.7</v>
      </c>
      <c r="Q124" s="6">
        <f t="shared" si="20"/>
        <v>28.466666666666669</v>
      </c>
      <c r="R124" s="7"/>
      <c r="S124" s="7"/>
      <c r="T124" s="7" t="str">
        <f t="shared" si="14"/>
        <v/>
      </c>
      <c r="U124" s="7"/>
      <c r="V124">
        <f t="shared" si="15"/>
        <v>0</v>
      </c>
      <c r="W124" s="3">
        <f t="shared" si="16"/>
        <v>0</v>
      </c>
      <c r="X124" s="3">
        <f t="shared" si="17"/>
        <v>0</v>
      </c>
    </row>
    <row r="125" spans="9:24" x14ac:dyDescent="0.2">
      <c r="I125" s="2"/>
      <c r="J125" s="4">
        <v>339</v>
      </c>
      <c r="K125" s="5">
        <v>2013</v>
      </c>
      <c r="L125" s="5">
        <v>7</v>
      </c>
      <c r="M125" s="5">
        <v>3</v>
      </c>
      <c r="N125" s="3" t="str">
        <f t="shared" si="13"/>
        <v>2013,7,3</v>
      </c>
      <c r="O125" t="s">
        <v>19</v>
      </c>
      <c r="P125">
        <f t="shared" si="21"/>
        <v>5.65</v>
      </c>
      <c r="Q125" s="6">
        <f t="shared" si="20"/>
        <v>34.116666666666667</v>
      </c>
      <c r="R125" s="7"/>
      <c r="S125" s="7"/>
      <c r="T125" s="7" t="str">
        <f t="shared" si="14"/>
        <v/>
      </c>
      <c r="U125" s="7"/>
      <c r="V125">
        <f t="shared" si="15"/>
        <v>0</v>
      </c>
      <c r="W125" s="3">
        <f t="shared" si="16"/>
        <v>0</v>
      </c>
      <c r="X125" s="3">
        <f t="shared" si="17"/>
        <v>0</v>
      </c>
    </row>
    <row r="126" spans="9:24" x14ac:dyDescent="0.2">
      <c r="I126" s="2"/>
      <c r="J126" s="4">
        <v>349</v>
      </c>
      <c r="K126" s="5">
        <v>2013</v>
      </c>
      <c r="L126" s="5">
        <v>7</v>
      </c>
      <c r="M126" s="5">
        <v>3</v>
      </c>
      <c r="N126" s="3" t="str">
        <f t="shared" si="13"/>
        <v>2013,7,3</v>
      </c>
      <c r="O126" t="s">
        <v>19</v>
      </c>
      <c r="P126">
        <f t="shared" si="21"/>
        <v>5.8166666666666664</v>
      </c>
      <c r="Q126" s="6">
        <f t="shared" si="20"/>
        <v>39.933333333333337</v>
      </c>
      <c r="R126" s="7"/>
      <c r="S126" s="7"/>
      <c r="T126" s="7" t="str">
        <f t="shared" si="14"/>
        <v/>
      </c>
      <c r="U126" s="7"/>
      <c r="V126">
        <f t="shared" si="15"/>
        <v>0</v>
      </c>
      <c r="W126" s="3">
        <f t="shared" si="16"/>
        <v>0</v>
      </c>
      <c r="X126" s="3">
        <f t="shared" si="17"/>
        <v>0</v>
      </c>
    </row>
    <row r="127" spans="9:24" x14ac:dyDescent="0.2">
      <c r="I127" s="2"/>
      <c r="J127" s="4">
        <v>285</v>
      </c>
      <c r="K127" s="5">
        <v>2013</v>
      </c>
      <c r="L127" s="5">
        <v>7</v>
      </c>
      <c r="M127" s="5">
        <v>3</v>
      </c>
      <c r="N127" s="3" t="str">
        <f t="shared" si="13"/>
        <v>2013,7,3</v>
      </c>
      <c r="O127" t="s">
        <v>19</v>
      </c>
      <c r="P127">
        <f t="shared" si="21"/>
        <v>4.75</v>
      </c>
      <c r="Q127" s="6">
        <f t="shared" si="20"/>
        <v>44.683333333333337</v>
      </c>
      <c r="R127" s="7"/>
      <c r="S127" s="7"/>
      <c r="T127" s="7" t="str">
        <f t="shared" si="14"/>
        <v/>
      </c>
      <c r="U127" s="7"/>
      <c r="V127">
        <f t="shared" si="15"/>
        <v>0</v>
      </c>
      <c r="W127" s="3">
        <f t="shared" si="16"/>
        <v>0</v>
      </c>
      <c r="X127" s="3">
        <f t="shared" si="17"/>
        <v>0</v>
      </c>
    </row>
    <row r="128" spans="9:24" x14ac:dyDescent="0.2">
      <c r="I128" s="2"/>
      <c r="J128" s="4">
        <v>263</v>
      </c>
      <c r="K128" s="5">
        <v>2013</v>
      </c>
      <c r="L128" s="5">
        <v>7</v>
      </c>
      <c r="M128" s="5">
        <v>3</v>
      </c>
      <c r="N128" s="3" t="str">
        <f t="shared" si="13"/>
        <v>2013,7,3</v>
      </c>
      <c r="O128" t="s">
        <v>19</v>
      </c>
      <c r="P128">
        <f t="shared" si="21"/>
        <v>4.3833333333333337</v>
      </c>
      <c r="Q128" s="6">
        <f t="shared" si="20"/>
        <v>49.06666666666667</v>
      </c>
      <c r="R128" s="7"/>
      <c r="S128" s="7"/>
      <c r="T128" s="7" t="str">
        <f t="shared" si="14"/>
        <v/>
      </c>
      <c r="U128" s="7"/>
      <c r="V128">
        <f t="shared" si="15"/>
        <v>0</v>
      </c>
      <c r="W128" s="3">
        <f t="shared" si="16"/>
        <v>0</v>
      </c>
      <c r="X128" s="3">
        <f t="shared" si="17"/>
        <v>0</v>
      </c>
    </row>
    <row r="129" spans="9:24" x14ac:dyDescent="0.2">
      <c r="I129" s="2" t="s">
        <v>43</v>
      </c>
      <c r="J129" s="4">
        <v>228</v>
      </c>
      <c r="K129" s="5">
        <v>2013</v>
      </c>
      <c r="L129" s="5">
        <v>7</v>
      </c>
      <c r="M129" s="5">
        <v>3</v>
      </c>
      <c r="N129" s="3" t="str">
        <f t="shared" si="13"/>
        <v>2013,7,3</v>
      </c>
      <c r="O129" t="s">
        <v>19</v>
      </c>
      <c r="P129">
        <f t="shared" si="21"/>
        <v>3.8</v>
      </c>
      <c r="Q129" s="6">
        <f t="shared" si="20"/>
        <v>52.866666666666667</v>
      </c>
      <c r="R129" s="7">
        <v>0.27430555555555552</v>
      </c>
      <c r="S129" s="7">
        <f t="shared" si="18"/>
        <v>0.27083333333333331</v>
      </c>
      <c r="T129" s="7">
        <f t="shared" si="14"/>
        <v>0.31041666666666662</v>
      </c>
      <c r="U129" s="7">
        <f t="shared" si="19"/>
        <v>0.30208333333333331</v>
      </c>
      <c r="V129">
        <f t="shared" si="15"/>
        <v>6</v>
      </c>
      <c r="W129" s="3">
        <f t="shared" si="16"/>
        <v>0.58333333333333337</v>
      </c>
      <c r="X129" s="3">
        <f t="shared" si="17"/>
        <v>6.583333333333333</v>
      </c>
    </row>
    <row r="130" spans="9:24" x14ac:dyDescent="0.2">
      <c r="I130" s="2"/>
      <c r="J130" s="4">
        <v>356</v>
      </c>
      <c r="K130" s="5">
        <v>2013</v>
      </c>
      <c r="L130" s="5">
        <v>7</v>
      </c>
      <c r="M130" s="5">
        <v>6</v>
      </c>
      <c r="N130" s="3" t="str">
        <f t="shared" si="13"/>
        <v>2013,7,6</v>
      </c>
      <c r="O130" t="s">
        <v>26</v>
      </c>
      <c r="P130">
        <f t="shared" si="21"/>
        <v>5.9333333333333336</v>
      </c>
      <c r="Q130" s="6">
        <f t="shared" si="20"/>
        <v>5.9333333333333336</v>
      </c>
      <c r="R130" s="7"/>
      <c r="S130" s="7"/>
      <c r="T130" s="7" t="str">
        <f t="shared" si="14"/>
        <v/>
      </c>
      <c r="U130" s="7"/>
      <c r="V130">
        <f t="shared" si="15"/>
        <v>0</v>
      </c>
      <c r="W130" s="3">
        <f t="shared" si="16"/>
        <v>0</v>
      </c>
      <c r="X130" s="3">
        <f t="shared" si="17"/>
        <v>0</v>
      </c>
    </row>
    <row r="131" spans="9:24" x14ac:dyDescent="0.2">
      <c r="I131" s="2"/>
      <c r="J131" s="4">
        <v>312</v>
      </c>
      <c r="K131" s="5">
        <v>2013</v>
      </c>
      <c r="L131" s="5">
        <v>7</v>
      </c>
      <c r="M131" s="5">
        <v>6</v>
      </c>
      <c r="N131" s="3" t="str">
        <f t="shared" ref="N131:N194" si="22">K131&amp;","&amp;L131&amp;","&amp;M131</f>
        <v>2013,7,6</v>
      </c>
      <c r="O131" t="s">
        <v>26</v>
      </c>
      <c r="P131">
        <f t="shared" si="21"/>
        <v>5.2</v>
      </c>
      <c r="Q131" s="6">
        <f t="shared" si="20"/>
        <v>11.133333333333333</v>
      </c>
      <c r="R131" s="7"/>
      <c r="S131" s="7"/>
      <c r="T131" s="7" t="str">
        <f t="shared" ref="T131:T194" si="23">IF(ISBLANK(R131),"",R131+TIME(0,Q131,0))</f>
        <v/>
      </c>
      <c r="U131" s="7"/>
      <c r="V131">
        <f t="shared" si="15"/>
        <v>0</v>
      </c>
      <c r="W131" s="3">
        <f t="shared" si="16"/>
        <v>0</v>
      </c>
      <c r="X131" s="3">
        <f t="shared" si="17"/>
        <v>0</v>
      </c>
    </row>
    <row r="132" spans="9:24" x14ac:dyDescent="0.2">
      <c r="I132" s="2"/>
      <c r="J132" s="4">
        <v>457</v>
      </c>
      <c r="K132" s="5">
        <v>2013</v>
      </c>
      <c r="L132" s="5">
        <v>7</v>
      </c>
      <c r="M132" s="5">
        <v>6</v>
      </c>
      <c r="N132" s="3" t="str">
        <f t="shared" si="22"/>
        <v>2013,7,6</v>
      </c>
      <c r="O132" t="s">
        <v>26</v>
      </c>
      <c r="P132">
        <f t="shared" si="21"/>
        <v>7.6166666666666663</v>
      </c>
      <c r="Q132" s="6">
        <f t="shared" si="20"/>
        <v>18.75</v>
      </c>
      <c r="R132" s="7"/>
      <c r="S132" s="7"/>
      <c r="T132" s="7" t="str">
        <f t="shared" si="23"/>
        <v/>
      </c>
      <c r="U132" s="7"/>
      <c r="V132">
        <f t="shared" ref="V132:V195" si="24">HOUR(R132)</f>
        <v>0</v>
      </c>
      <c r="W132" s="3">
        <f t="shared" ref="W132:W195" si="25">MINUTE(R132)/60</f>
        <v>0</v>
      </c>
      <c r="X132" s="3">
        <f t="shared" ref="X132:X195" si="26">V132+W132</f>
        <v>0</v>
      </c>
    </row>
    <row r="133" spans="9:24" x14ac:dyDescent="0.2">
      <c r="I133" s="2"/>
      <c r="J133" s="4">
        <v>702</v>
      </c>
      <c r="K133" s="5">
        <v>2013</v>
      </c>
      <c r="L133" s="5">
        <v>7</v>
      </c>
      <c r="M133" s="5">
        <v>6</v>
      </c>
      <c r="N133" s="3" t="str">
        <f t="shared" si="22"/>
        <v>2013,7,6</v>
      </c>
      <c r="O133" t="s">
        <v>26</v>
      </c>
      <c r="P133">
        <f t="shared" si="21"/>
        <v>11.7</v>
      </c>
      <c r="Q133" s="6">
        <f t="shared" si="20"/>
        <v>30.45</v>
      </c>
      <c r="R133" s="7"/>
      <c r="S133" s="7"/>
      <c r="T133" s="7" t="str">
        <f t="shared" si="23"/>
        <v/>
      </c>
      <c r="U133" s="7"/>
      <c r="V133">
        <f t="shared" si="24"/>
        <v>0</v>
      </c>
      <c r="W133" s="3">
        <f t="shared" si="25"/>
        <v>0</v>
      </c>
      <c r="X133" s="3">
        <f t="shared" si="26"/>
        <v>0</v>
      </c>
    </row>
    <row r="134" spans="9:24" x14ac:dyDescent="0.2">
      <c r="I134" s="2" t="s">
        <v>44</v>
      </c>
      <c r="J134" s="4">
        <v>501</v>
      </c>
      <c r="K134" s="5">
        <v>2013</v>
      </c>
      <c r="L134" s="5">
        <v>7</v>
      </c>
      <c r="M134" s="5">
        <v>6</v>
      </c>
      <c r="N134" s="3" t="str">
        <f t="shared" si="22"/>
        <v>2013,7,6</v>
      </c>
      <c r="O134" t="s">
        <v>26</v>
      </c>
      <c r="P134">
        <f t="shared" si="21"/>
        <v>8.35</v>
      </c>
      <c r="Q134" s="6">
        <f t="shared" si="20"/>
        <v>38.799999999999997</v>
      </c>
      <c r="R134" s="7">
        <v>0.65555555555555556</v>
      </c>
      <c r="S134" s="7">
        <f t="shared" ref="S134:S192" si="27">FLOOR(R134,"0:15")</f>
        <v>0.64583333333333326</v>
      </c>
      <c r="T134" s="7">
        <f t="shared" si="23"/>
        <v>0.68194444444444446</v>
      </c>
      <c r="U134" s="7">
        <f t="shared" ref="U134:U192" si="28">FLOOR(T134,"0:15")</f>
        <v>0.67708333333333326</v>
      </c>
      <c r="V134">
        <f t="shared" si="24"/>
        <v>15</v>
      </c>
      <c r="W134" s="3">
        <f t="shared" si="25"/>
        <v>0.73333333333333328</v>
      </c>
      <c r="X134" s="3">
        <f t="shared" si="26"/>
        <v>15.733333333333333</v>
      </c>
    </row>
    <row r="135" spans="9:24" x14ac:dyDescent="0.2">
      <c r="I135" s="2"/>
      <c r="J135" s="4">
        <v>260</v>
      </c>
      <c r="K135" s="5">
        <v>2013</v>
      </c>
      <c r="L135" s="5">
        <v>7</v>
      </c>
      <c r="M135" s="5">
        <v>10</v>
      </c>
      <c r="N135" s="3" t="str">
        <f t="shared" si="22"/>
        <v>2013,7,10</v>
      </c>
      <c r="O135" t="s">
        <v>19</v>
      </c>
      <c r="P135">
        <f t="shared" si="21"/>
        <v>4.333333333333333</v>
      </c>
      <c r="Q135" s="6">
        <f t="shared" si="20"/>
        <v>4.333333333333333</v>
      </c>
      <c r="R135" s="7"/>
      <c r="S135" s="7"/>
      <c r="T135" s="7" t="str">
        <f t="shared" si="23"/>
        <v/>
      </c>
      <c r="U135" s="7"/>
      <c r="V135">
        <f t="shared" si="24"/>
        <v>0</v>
      </c>
      <c r="W135" s="3">
        <f t="shared" si="25"/>
        <v>0</v>
      </c>
      <c r="X135" s="3">
        <f t="shared" si="26"/>
        <v>0</v>
      </c>
    </row>
    <row r="136" spans="9:24" x14ac:dyDescent="0.2">
      <c r="I136" s="2"/>
      <c r="J136" s="4">
        <v>544</v>
      </c>
      <c r="K136" s="5">
        <v>2013</v>
      </c>
      <c r="L136" s="5">
        <v>7</v>
      </c>
      <c r="M136" s="5">
        <v>10</v>
      </c>
      <c r="N136" s="3" t="str">
        <f t="shared" si="22"/>
        <v>2013,7,10</v>
      </c>
      <c r="O136" t="s">
        <v>19</v>
      </c>
      <c r="P136">
        <f t="shared" si="21"/>
        <v>9.0666666666666664</v>
      </c>
      <c r="Q136" s="6">
        <f t="shared" si="20"/>
        <v>13.399999999999999</v>
      </c>
      <c r="R136" s="7"/>
      <c r="S136" s="7"/>
      <c r="T136" s="7" t="str">
        <f t="shared" si="23"/>
        <v/>
      </c>
      <c r="U136" s="7"/>
      <c r="V136">
        <f t="shared" si="24"/>
        <v>0</v>
      </c>
      <c r="W136" s="3">
        <f t="shared" si="25"/>
        <v>0</v>
      </c>
      <c r="X136" s="3">
        <f t="shared" si="26"/>
        <v>0</v>
      </c>
    </row>
    <row r="137" spans="9:24" x14ac:dyDescent="0.2">
      <c r="I137" s="2"/>
      <c r="J137" s="4">
        <v>355</v>
      </c>
      <c r="K137" s="5">
        <v>2013</v>
      </c>
      <c r="L137" s="5">
        <v>7</v>
      </c>
      <c r="M137" s="5">
        <v>10</v>
      </c>
      <c r="N137" s="3" t="str">
        <f t="shared" si="22"/>
        <v>2013,7,10</v>
      </c>
      <c r="O137" t="s">
        <v>19</v>
      </c>
      <c r="P137">
        <f t="shared" si="21"/>
        <v>5.916666666666667</v>
      </c>
      <c r="Q137" s="6">
        <f t="shared" si="20"/>
        <v>19.316666666666666</v>
      </c>
      <c r="R137" s="7"/>
      <c r="S137" s="7"/>
      <c r="T137" s="7" t="str">
        <f t="shared" si="23"/>
        <v/>
      </c>
      <c r="U137" s="7"/>
      <c r="V137">
        <f t="shared" si="24"/>
        <v>0</v>
      </c>
      <c r="W137" s="3">
        <f t="shared" si="25"/>
        <v>0</v>
      </c>
      <c r="X137" s="3">
        <f t="shared" si="26"/>
        <v>0</v>
      </c>
    </row>
    <row r="138" spans="9:24" x14ac:dyDescent="0.2">
      <c r="I138" s="2"/>
      <c r="J138" s="4">
        <v>606</v>
      </c>
      <c r="K138" s="5">
        <v>2013</v>
      </c>
      <c r="L138" s="5">
        <v>7</v>
      </c>
      <c r="M138" s="5">
        <v>10</v>
      </c>
      <c r="N138" s="3" t="str">
        <f t="shared" si="22"/>
        <v>2013,7,10</v>
      </c>
      <c r="O138" t="s">
        <v>19</v>
      </c>
      <c r="P138">
        <f t="shared" si="21"/>
        <v>10.1</v>
      </c>
      <c r="Q138" s="6">
        <f t="shared" si="20"/>
        <v>29.416666666666664</v>
      </c>
      <c r="R138" s="7"/>
      <c r="S138" s="7"/>
      <c r="T138" s="7" t="str">
        <f t="shared" si="23"/>
        <v/>
      </c>
      <c r="U138" s="7"/>
      <c r="V138">
        <f t="shared" si="24"/>
        <v>0</v>
      </c>
      <c r="W138" s="3">
        <f t="shared" si="25"/>
        <v>0</v>
      </c>
      <c r="X138" s="3">
        <f t="shared" si="26"/>
        <v>0</v>
      </c>
    </row>
    <row r="139" spans="9:24" x14ac:dyDescent="0.2">
      <c r="I139" s="2"/>
      <c r="J139" s="4">
        <v>160</v>
      </c>
      <c r="K139" s="5">
        <v>2013</v>
      </c>
      <c r="L139" s="5">
        <v>7</v>
      </c>
      <c r="M139" s="5">
        <v>10</v>
      </c>
      <c r="N139" s="3" t="str">
        <f t="shared" si="22"/>
        <v>2013,7,10</v>
      </c>
      <c r="O139" t="s">
        <v>19</v>
      </c>
      <c r="P139">
        <f t="shared" si="21"/>
        <v>2.6666666666666665</v>
      </c>
      <c r="Q139" s="6">
        <f t="shared" si="20"/>
        <v>32.083333333333329</v>
      </c>
      <c r="R139" s="7"/>
      <c r="S139" s="7"/>
      <c r="T139" s="7" t="str">
        <f t="shared" si="23"/>
        <v/>
      </c>
      <c r="U139" s="7"/>
      <c r="V139">
        <f t="shared" si="24"/>
        <v>0</v>
      </c>
      <c r="W139" s="3">
        <f t="shared" si="25"/>
        <v>0</v>
      </c>
      <c r="X139" s="3">
        <f t="shared" si="26"/>
        <v>0</v>
      </c>
    </row>
    <row r="140" spans="9:24" x14ac:dyDescent="0.2">
      <c r="I140" s="2"/>
      <c r="J140" s="4">
        <v>331</v>
      </c>
      <c r="K140" s="5">
        <v>2013</v>
      </c>
      <c r="L140" s="5">
        <v>7</v>
      </c>
      <c r="M140" s="5">
        <v>10</v>
      </c>
      <c r="N140" s="3" t="str">
        <f t="shared" si="22"/>
        <v>2013,7,10</v>
      </c>
      <c r="O140" t="s">
        <v>19</v>
      </c>
      <c r="P140">
        <f t="shared" si="21"/>
        <v>5.5166666666666666</v>
      </c>
      <c r="Q140" s="6">
        <f t="shared" si="20"/>
        <v>37.599999999999994</v>
      </c>
      <c r="R140" s="7"/>
      <c r="S140" s="7"/>
      <c r="T140" s="7" t="str">
        <f t="shared" si="23"/>
        <v/>
      </c>
      <c r="U140" s="7"/>
      <c r="V140">
        <f t="shared" si="24"/>
        <v>0</v>
      </c>
      <c r="W140" s="3">
        <f t="shared" si="25"/>
        <v>0</v>
      </c>
      <c r="X140" s="3">
        <f t="shared" si="26"/>
        <v>0</v>
      </c>
    </row>
    <row r="141" spans="9:24" x14ac:dyDescent="0.2">
      <c r="I141" s="2"/>
      <c r="J141" s="4">
        <v>593</v>
      </c>
      <c r="K141" s="5">
        <v>2013</v>
      </c>
      <c r="L141" s="5">
        <v>7</v>
      </c>
      <c r="M141" s="5">
        <v>10</v>
      </c>
      <c r="N141" s="3" t="str">
        <f t="shared" si="22"/>
        <v>2013,7,10</v>
      </c>
      <c r="O141" t="s">
        <v>19</v>
      </c>
      <c r="P141">
        <f t="shared" si="21"/>
        <v>9.8833333333333329</v>
      </c>
      <c r="Q141" s="6">
        <f t="shared" si="20"/>
        <v>47.483333333333327</v>
      </c>
      <c r="R141" s="7"/>
      <c r="S141" s="7"/>
      <c r="T141" s="7" t="str">
        <f t="shared" si="23"/>
        <v/>
      </c>
      <c r="U141" s="7"/>
      <c r="V141">
        <f t="shared" si="24"/>
        <v>0</v>
      </c>
      <c r="W141" s="3">
        <f t="shared" si="25"/>
        <v>0</v>
      </c>
      <c r="X141" s="3">
        <f t="shared" si="26"/>
        <v>0</v>
      </c>
    </row>
    <row r="142" spans="9:24" x14ac:dyDescent="0.2">
      <c r="I142" s="2" t="s">
        <v>45</v>
      </c>
      <c r="J142" s="4">
        <v>434</v>
      </c>
      <c r="K142" s="5">
        <v>2013</v>
      </c>
      <c r="L142" s="5">
        <v>7</v>
      </c>
      <c r="M142" s="5">
        <v>10</v>
      </c>
      <c r="N142" s="3" t="str">
        <f t="shared" si="22"/>
        <v>2013,7,10</v>
      </c>
      <c r="O142" t="s">
        <v>19</v>
      </c>
      <c r="P142">
        <f t="shared" si="21"/>
        <v>7.2333333333333334</v>
      </c>
      <c r="Q142" s="6">
        <f t="shared" si="20"/>
        <v>54.716666666666661</v>
      </c>
      <c r="R142" s="7">
        <v>0.26597222222222222</v>
      </c>
      <c r="S142" s="7">
        <f t="shared" si="27"/>
        <v>0.26041666666666663</v>
      </c>
      <c r="T142" s="7">
        <f t="shared" si="23"/>
        <v>0.3034722222222222</v>
      </c>
      <c r="U142" s="7">
        <f t="shared" si="28"/>
        <v>0.30208333333333331</v>
      </c>
      <c r="V142">
        <f t="shared" si="24"/>
        <v>6</v>
      </c>
      <c r="W142" s="3">
        <f t="shared" si="25"/>
        <v>0.38333333333333336</v>
      </c>
      <c r="X142" s="3">
        <f t="shared" si="26"/>
        <v>6.3833333333333337</v>
      </c>
    </row>
    <row r="143" spans="9:24" x14ac:dyDescent="0.2">
      <c r="I143" s="2"/>
      <c r="J143" s="4">
        <v>182</v>
      </c>
      <c r="K143" s="5">
        <v>2013</v>
      </c>
      <c r="L143" s="5">
        <v>7</v>
      </c>
      <c r="M143" s="5">
        <v>14</v>
      </c>
      <c r="N143" s="3" t="str">
        <f t="shared" si="22"/>
        <v>2013,7,14</v>
      </c>
      <c r="O143" t="s">
        <v>21</v>
      </c>
      <c r="P143">
        <f t="shared" si="21"/>
        <v>3.0333333333333332</v>
      </c>
      <c r="Q143" s="6">
        <f t="shared" si="20"/>
        <v>3.0333333333333332</v>
      </c>
      <c r="R143" s="7"/>
      <c r="S143" s="7"/>
      <c r="T143" s="7" t="str">
        <f t="shared" si="23"/>
        <v/>
      </c>
      <c r="U143" s="7"/>
      <c r="V143">
        <f t="shared" si="24"/>
        <v>0</v>
      </c>
      <c r="W143" s="3">
        <f t="shared" si="25"/>
        <v>0</v>
      </c>
      <c r="X143" s="3">
        <f t="shared" si="26"/>
        <v>0</v>
      </c>
    </row>
    <row r="144" spans="9:24" x14ac:dyDescent="0.2">
      <c r="I144" s="2"/>
      <c r="J144" s="4">
        <v>329</v>
      </c>
      <c r="K144" s="5">
        <v>2013</v>
      </c>
      <c r="L144" s="5">
        <v>7</v>
      </c>
      <c r="M144" s="5">
        <v>14</v>
      </c>
      <c r="N144" s="3" t="str">
        <f t="shared" si="22"/>
        <v>2013,7,14</v>
      </c>
      <c r="O144" t="s">
        <v>21</v>
      </c>
      <c r="P144">
        <f t="shared" si="21"/>
        <v>5.4833333333333334</v>
      </c>
      <c r="Q144" s="6">
        <f t="shared" si="20"/>
        <v>8.5166666666666657</v>
      </c>
      <c r="R144" s="7"/>
      <c r="S144" s="7"/>
      <c r="T144" s="7" t="str">
        <f t="shared" si="23"/>
        <v/>
      </c>
      <c r="U144" s="7"/>
      <c r="V144">
        <f t="shared" si="24"/>
        <v>0</v>
      </c>
      <c r="W144" s="3">
        <f t="shared" si="25"/>
        <v>0</v>
      </c>
      <c r="X144" s="3">
        <f t="shared" si="26"/>
        <v>0</v>
      </c>
    </row>
    <row r="145" spans="9:24" x14ac:dyDescent="0.2">
      <c r="I145" s="2"/>
      <c r="J145" s="4">
        <v>193</v>
      </c>
      <c r="K145" s="5">
        <v>2013</v>
      </c>
      <c r="L145" s="5">
        <v>7</v>
      </c>
      <c r="M145" s="5">
        <v>14</v>
      </c>
      <c r="N145" s="3" t="str">
        <f t="shared" si="22"/>
        <v>2013,7,14</v>
      </c>
      <c r="O145" t="s">
        <v>21</v>
      </c>
      <c r="P145">
        <f t="shared" si="21"/>
        <v>3.2166666666666668</v>
      </c>
      <c r="Q145" s="6">
        <f t="shared" si="20"/>
        <v>11.733333333333333</v>
      </c>
      <c r="R145" s="7"/>
      <c r="S145" s="7"/>
      <c r="T145" s="7" t="str">
        <f t="shared" si="23"/>
        <v/>
      </c>
      <c r="U145" s="7"/>
      <c r="V145">
        <f t="shared" si="24"/>
        <v>0</v>
      </c>
      <c r="W145" s="3">
        <f t="shared" si="25"/>
        <v>0</v>
      </c>
      <c r="X145" s="3">
        <f t="shared" si="26"/>
        <v>0</v>
      </c>
    </row>
    <row r="146" spans="9:24" x14ac:dyDescent="0.2">
      <c r="I146" s="2"/>
      <c r="J146" s="4">
        <v>313</v>
      </c>
      <c r="K146" s="5">
        <v>2013</v>
      </c>
      <c r="L146" s="5">
        <v>7</v>
      </c>
      <c r="M146" s="5">
        <v>14</v>
      </c>
      <c r="N146" s="3" t="str">
        <f t="shared" si="22"/>
        <v>2013,7,14</v>
      </c>
      <c r="O146" t="s">
        <v>21</v>
      </c>
      <c r="P146">
        <f t="shared" si="21"/>
        <v>5.2166666666666668</v>
      </c>
      <c r="Q146" s="6">
        <f t="shared" si="20"/>
        <v>16.95</v>
      </c>
      <c r="R146" s="7"/>
      <c r="S146" s="7"/>
      <c r="T146" s="7" t="str">
        <f t="shared" si="23"/>
        <v/>
      </c>
      <c r="U146" s="7"/>
      <c r="V146">
        <f t="shared" si="24"/>
        <v>0</v>
      </c>
      <c r="W146" s="3">
        <f t="shared" si="25"/>
        <v>0</v>
      </c>
      <c r="X146" s="3">
        <f t="shared" si="26"/>
        <v>0</v>
      </c>
    </row>
    <row r="147" spans="9:24" x14ac:dyDescent="0.2">
      <c r="I147" s="2"/>
      <c r="J147" s="4">
        <v>531</v>
      </c>
      <c r="K147" s="5">
        <v>2013</v>
      </c>
      <c r="L147" s="5">
        <v>7</v>
      </c>
      <c r="M147" s="5">
        <v>14</v>
      </c>
      <c r="N147" s="3" t="str">
        <f t="shared" si="22"/>
        <v>2013,7,14</v>
      </c>
      <c r="O147" t="s">
        <v>21</v>
      </c>
      <c r="P147">
        <f t="shared" si="21"/>
        <v>8.85</v>
      </c>
      <c r="Q147" s="6">
        <f t="shared" si="20"/>
        <v>25.799999999999997</v>
      </c>
      <c r="R147" s="7"/>
      <c r="S147" s="7"/>
      <c r="T147" s="7" t="str">
        <f t="shared" si="23"/>
        <v/>
      </c>
      <c r="U147" s="7"/>
      <c r="V147">
        <f t="shared" si="24"/>
        <v>0</v>
      </c>
      <c r="W147" s="3">
        <f t="shared" si="25"/>
        <v>0</v>
      </c>
      <c r="X147" s="3">
        <f t="shared" si="26"/>
        <v>0</v>
      </c>
    </row>
    <row r="148" spans="9:24" x14ac:dyDescent="0.2">
      <c r="I148" s="2"/>
      <c r="J148" s="4">
        <v>59</v>
      </c>
      <c r="K148" s="5">
        <v>2013</v>
      </c>
      <c r="L148" s="5">
        <v>7</v>
      </c>
      <c r="M148" s="5">
        <v>14</v>
      </c>
      <c r="N148" s="3" t="str">
        <f t="shared" si="22"/>
        <v>2013,7,14</v>
      </c>
      <c r="O148" t="s">
        <v>21</v>
      </c>
      <c r="P148">
        <f t="shared" si="21"/>
        <v>0.98333333333333328</v>
      </c>
      <c r="Q148" s="6">
        <f t="shared" si="20"/>
        <v>26.783333333333331</v>
      </c>
      <c r="R148" s="7"/>
      <c r="S148" s="7"/>
      <c r="T148" s="7" t="str">
        <f t="shared" si="23"/>
        <v/>
      </c>
      <c r="U148" s="7"/>
      <c r="V148">
        <f t="shared" si="24"/>
        <v>0</v>
      </c>
      <c r="W148" s="3">
        <f t="shared" si="25"/>
        <v>0</v>
      </c>
      <c r="X148" s="3">
        <f t="shared" si="26"/>
        <v>0</v>
      </c>
    </row>
    <row r="149" spans="9:24" x14ac:dyDescent="0.2">
      <c r="I149" s="2"/>
      <c r="J149" s="4">
        <v>720</v>
      </c>
      <c r="K149" s="5">
        <v>2013</v>
      </c>
      <c r="L149" s="5">
        <v>7</v>
      </c>
      <c r="M149" s="5">
        <v>14</v>
      </c>
      <c r="N149" s="3" t="str">
        <f t="shared" si="22"/>
        <v>2013,7,14</v>
      </c>
      <c r="O149" t="s">
        <v>21</v>
      </c>
      <c r="P149">
        <f t="shared" si="21"/>
        <v>12</v>
      </c>
      <c r="Q149" s="6">
        <f t="shared" si="20"/>
        <v>38.783333333333331</v>
      </c>
      <c r="R149" s="7"/>
      <c r="S149" s="7"/>
      <c r="T149" s="7" t="str">
        <f t="shared" si="23"/>
        <v/>
      </c>
      <c r="U149" s="7"/>
      <c r="V149">
        <f t="shared" si="24"/>
        <v>0</v>
      </c>
      <c r="W149" s="3">
        <f t="shared" si="25"/>
        <v>0</v>
      </c>
      <c r="X149" s="3">
        <f t="shared" si="26"/>
        <v>0</v>
      </c>
    </row>
    <row r="150" spans="9:24" x14ac:dyDescent="0.2">
      <c r="I150" s="2" t="s">
        <v>46</v>
      </c>
      <c r="J150" s="4">
        <v>368</v>
      </c>
      <c r="K150" s="5">
        <v>2013</v>
      </c>
      <c r="L150" s="5">
        <v>7</v>
      </c>
      <c r="M150" s="5">
        <v>14</v>
      </c>
      <c r="N150" s="3" t="str">
        <f t="shared" si="22"/>
        <v>2013,7,14</v>
      </c>
      <c r="O150" t="s">
        <v>21</v>
      </c>
      <c r="P150">
        <f t="shared" si="21"/>
        <v>6.1333333333333337</v>
      </c>
      <c r="Q150" s="6">
        <f t="shared" si="20"/>
        <v>44.916666666666664</v>
      </c>
      <c r="R150" s="7">
        <v>0.69374999999999998</v>
      </c>
      <c r="S150" s="7">
        <f t="shared" si="27"/>
        <v>0.6875</v>
      </c>
      <c r="T150" s="7">
        <f t="shared" si="23"/>
        <v>0.72430555555555554</v>
      </c>
      <c r="U150" s="7">
        <f t="shared" si="28"/>
        <v>0.71875</v>
      </c>
      <c r="V150">
        <f t="shared" si="24"/>
        <v>16</v>
      </c>
      <c r="W150" s="3">
        <f t="shared" si="25"/>
        <v>0.65</v>
      </c>
      <c r="X150" s="3">
        <f t="shared" si="26"/>
        <v>16.649999999999999</v>
      </c>
    </row>
    <row r="151" spans="9:24" x14ac:dyDescent="0.2">
      <c r="I151" s="2"/>
      <c r="J151" s="4">
        <v>367</v>
      </c>
      <c r="K151" s="5">
        <v>2013</v>
      </c>
      <c r="L151" s="5">
        <v>7</v>
      </c>
      <c r="M151" s="5">
        <v>17</v>
      </c>
      <c r="N151" s="3" t="str">
        <f t="shared" si="22"/>
        <v>2013,7,17</v>
      </c>
      <c r="O151" t="s">
        <v>19</v>
      </c>
      <c r="P151">
        <f t="shared" si="21"/>
        <v>6.1166666666666663</v>
      </c>
      <c r="Q151" s="6">
        <f t="shared" si="20"/>
        <v>6.1166666666666663</v>
      </c>
      <c r="R151" s="7"/>
      <c r="S151" s="7"/>
      <c r="T151" s="7" t="str">
        <f t="shared" si="23"/>
        <v/>
      </c>
      <c r="U151" s="7"/>
      <c r="V151">
        <f t="shared" si="24"/>
        <v>0</v>
      </c>
      <c r="W151" s="3">
        <f t="shared" si="25"/>
        <v>0</v>
      </c>
      <c r="X151" s="3">
        <f t="shared" si="26"/>
        <v>0</v>
      </c>
    </row>
    <row r="152" spans="9:24" x14ac:dyDescent="0.2">
      <c r="I152" s="2"/>
      <c r="J152" s="4">
        <v>549</v>
      </c>
      <c r="K152" s="5">
        <v>2013</v>
      </c>
      <c r="L152" s="5">
        <v>7</v>
      </c>
      <c r="M152" s="5">
        <v>17</v>
      </c>
      <c r="N152" s="3" t="str">
        <f t="shared" si="22"/>
        <v>2013,7,17</v>
      </c>
      <c r="O152" t="s">
        <v>19</v>
      </c>
      <c r="P152">
        <f t="shared" si="21"/>
        <v>9.15</v>
      </c>
      <c r="Q152" s="6">
        <f t="shared" si="20"/>
        <v>15.266666666666666</v>
      </c>
      <c r="R152" s="7"/>
      <c r="S152" s="7"/>
      <c r="T152" s="7" t="str">
        <f t="shared" si="23"/>
        <v/>
      </c>
      <c r="U152" s="7"/>
      <c r="V152">
        <f t="shared" si="24"/>
        <v>0</v>
      </c>
      <c r="W152" s="3">
        <f t="shared" si="25"/>
        <v>0</v>
      </c>
      <c r="X152" s="3">
        <f t="shared" si="26"/>
        <v>0</v>
      </c>
    </row>
    <row r="153" spans="9:24" x14ac:dyDescent="0.2">
      <c r="I153" s="2"/>
      <c r="J153" s="4">
        <v>973</v>
      </c>
      <c r="K153" s="5">
        <v>2013</v>
      </c>
      <c r="L153" s="5">
        <v>7</v>
      </c>
      <c r="M153" s="5">
        <v>17</v>
      </c>
      <c r="N153" s="3" t="str">
        <f t="shared" si="22"/>
        <v>2013,7,17</v>
      </c>
      <c r="O153" t="s">
        <v>19</v>
      </c>
      <c r="P153">
        <f t="shared" si="21"/>
        <v>16.216666666666665</v>
      </c>
      <c r="Q153" s="6">
        <f t="shared" si="20"/>
        <v>31.483333333333331</v>
      </c>
      <c r="R153" s="7"/>
      <c r="S153" s="7"/>
      <c r="T153" s="7" t="str">
        <f t="shared" si="23"/>
        <v/>
      </c>
      <c r="U153" s="7"/>
      <c r="V153">
        <f t="shared" si="24"/>
        <v>0</v>
      </c>
      <c r="W153" s="3">
        <f t="shared" si="25"/>
        <v>0</v>
      </c>
      <c r="X153" s="3">
        <f t="shared" si="26"/>
        <v>0</v>
      </c>
    </row>
    <row r="154" spans="9:24" x14ac:dyDescent="0.2">
      <c r="I154" s="2"/>
      <c r="J154" s="4">
        <v>433</v>
      </c>
      <c r="K154" s="5">
        <v>2013</v>
      </c>
      <c r="L154" s="5">
        <v>7</v>
      </c>
      <c r="M154" s="5">
        <v>17</v>
      </c>
      <c r="N154" s="3" t="str">
        <f t="shared" si="22"/>
        <v>2013,7,17</v>
      </c>
      <c r="O154" t="s">
        <v>19</v>
      </c>
      <c r="P154">
        <f t="shared" si="21"/>
        <v>7.2166666666666668</v>
      </c>
      <c r="Q154" s="6">
        <f t="shared" si="20"/>
        <v>38.699999999999996</v>
      </c>
      <c r="R154" s="7"/>
      <c r="S154" s="7"/>
      <c r="T154" s="7" t="str">
        <f t="shared" si="23"/>
        <v/>
      </c>
      <c r="U154" s="7"/>
      <c r="V154">
        <f t="shared" si="24"/>
        <v>0</v>
      </c>
      <c r="W154" s="3">
        <f t="shared" si="25"/>
        <v>0</v>
      </c>
      <c r="X154" s="3">
        <f t="shared" si="26"/>
        <v>0</v>
      </c>
    </row>
    <row r="155" spans="9:24" x14ac:dyDescent="0.2">
      <c r="I155" s="2" t="s">
        <v>47</v>
      </c>
      <c r="J155" s="4">
        <v>401</v>
      </c>
      <c r="K155" s="5">
        <v>2013</v>
      </c>
      <c r="L155" s="5">
        <v>7</v>
      </c>
      <c r="M155" s="5">
        <v>17</v>
      </c>
      <c r="N155" s="3" t="str">
        <f t="shared" si="22"/>
        <v>2013,7,17</v>
      </c>
      <c r="O155" t="s">
        <v>19</v>
      </c>
      <c r="P155">
        <f t="shared" si="21"/>
        <v>6.6833333333333336</v>
      </c>
      <c r="Q155" s="6">
        <f t="shared" si="20"/>
        <v>45.383333333333326</v>
      </c>
      <c r="R155" s="7">
        <v>0.27708333333333335</v>
      </c>
      <c r="S155" s="7">
        <f t="shared" si="27"/>
        <v>0.27083333333333331</v>
      </c>
      <c r="T155" s="7">
        <f t="shared" si="23"/>
        <v>0.30833333333333335</v>
      </c>
      <c r="U155" s="7">
        <f t="shared" si="28"/>
        <v>0.30208333333333331</v>
      </c>
      <c r="V155">
        <f t="shared" si="24"/>
        <v>6</v>
      </c>
      <c r="W155" s="3">
        <f t="shared" si="25"/>
        <v>0.65</v>
      </c>
      <c r="X155" s="3">
        <f t="shared" si="26"/>
        <v>6.65</v>
      </c>
    </row>
    <row r="156" spans="9:24" x14ac:dyDescent="0.2">
      <c r="I156" s="2"/>
      <c r="J156" s="4">
        <v>309</v>
      </c>
      <c r="K156" s="5">
        <v>2013</v>
      </c>
      <c r="L156" s="5">
        <v>7</v>
      </c>
      <c r="M156" s="5">
        <v>20</v>
      </c>
      <c r="N156" s="3" t="str">
        <f t="shared" si="22"/>
        <v>2013,7,20</v>
      </c>
      <c r="O156" t="s">
        <v>26</v>
      </c>
      <c r="P156">
        <f t="shared" si="21"/>
        <v>5.15</v>
      </c>
      <c r="Q156" s="6">
        <f t="shared" si="20"/>
        <v>5.15</v>
      </c>
      <c r="R156" s="7"/>
      <c r="S156" s="7"/>
      <c r="T156" s="7" t="str">
        <f t="shared" si="23"/>
        <v/>
      </c>
      <c r="U156" s="7"/>
      <c r="V156">
        <f t="shared" si="24"/>
        <v>0</v>
      </c>
      <c r="W156" s="3">
        <f t="shared" si="25"/>
        <v>0</v>
      </c>
      <c r="X156" s="3">
        <f t="shared" si="26"/>
        <v>0</v>
      </c>
    </row>
    <row r="157" spans="9:24" x14ac:dyDescent="0.2">
      <c r="I157" s="2"/>
      <c r="J157" s="4">
        <v>533</v>
      </c>
      <c r="K157" s="5">
        <v>2013</v>
      </c>
      <c r="L157" s="5">
        <v>7</v>
      </c>
      <c r="M157" s="5">
        <v>20</v>
      </c>
      <c r="N157" s="3" t="str">
        <f t="shared" si="22"/>
        <v>2013,7,20</v>
      </c>
      <c r="O157" t="s">
        <v>26</v>
      </c>
      <c r="P157">
        <f t="shared" si="21"/>
        <v>8.8833333333333329</v>
      </c>
      <c r="Q157" s="6">
        <f t="shared" si="20"/>
        <v>14.033333333333333</v>
      </c>
      <c r="R157" s="7"/>
      <c r="S157" s="7"/>
      <c r="T157" s="7" t="str">
        <f t="shared" si="23"/>
        <v/>
      </c>
      <c r="U157" s="7"/>
      <c r="V157">
        <f t="shared" si="24"/>
        <v>0</v>
      </c>
      <c r="W157" s="3">
        <f t="shared" si="25"/>
        <v>0</v>
      </c>
      <c r="X157" s="3">
        <f t="shared" si="26"/>
        <v>0</v>
      </c>
    </row>
    <row r="158" spans="9:24" x14ac:dyDescent="0.2">
      <c r="I158" s="2"/>
      <c r="J158" s="4">
        <v>412</v>
      </c>
      <c r="K158" s="5">
        <v>2013</v>
      </c>
      <c r="L158" s="5">
        <v>7</v>
      </c>
      <c r="M158" s="5">
        <v>20</v>
      </c>
      <c r="N158" s="3" t="str">
        <f t="shared" si="22"/>
        <v>2013,7,20</v>
      </c>
      <c r="O158" t="s">
        <v>26</v>
      </c>
      <c r="P158">
        <f t="shared" si="21"/>
        <v>6.8666666666666663</v>
      </c>
      <c r="Q158" s="6">
        <f t="shared" si="20"/>
        <v>20.9</v>
      </c>
      <c r="R158" s="7"/>
      <c r="S158" s="7"/>
      <c r="T158" s="7" t="str">
        <f t="shared" si="23"/>
        <v/>
      </c>
      <c r="U158" s="7"/>
      <c r="V158">
        <f t="shared" si="24"/>
        <v>0</v>
      </c>
      <c r="W158" s="3">
        <f t="shared" si="25"/>
        <v>0</v>
      </c>
      <c r="X158" s="3">
        <f t="shared" si="26"/>
        <v>0</v>
      </c>
    </row>
    <row r="159" spans="9:24" x14ac:dyDescent="0.2">
      <c r="I159" s="2"/>
      <c r="J159" s="4">
        <v>552</v>
      </c>
      <c r="K159" s="5">
        <v>2013</v>
      </c>
      <c r="L159" s="5">
        <v>7</v>
      </c>
      <c r="M159" s="5">
        <v>20</v>
      </c>
      <c r="N159" s="3" t="str">
        <f t="shared" si="22"/>
        <v>2013,7,20</v>
      </c>
      <c r="O159" t="s">
        <v>26</v>
      </c>
      <c r="P159">
        <f t="shared" si="21"/>
        <v>9.1999999999999993</v>
      </c>
      <c r="Q159" s="6">
        <f t="shared" si="20"/>
        <v>30.099999999999998</v>
      </c>
      <c r="R159" s="7"/>
      <c r="S159" s="7"/>
      <c r="T159" s="7" t="str">
        <f t="shared" si="23"/>
        <v/>
      </c>
      <c r="U159" s="7"/>
      <c r="V159">
        <f t="shared" si="24"/>
        <v>0</v>
      </c>
      <c r="W159" s="3">
        <f t="shared" si="25"/>
        <v>0</v>
      </c>
      <c r="X159" s="3">
        <f t="shared" si="26"/>
        <v>0</v>
      </c>
    </row>
    <row r="160" spans="9:24" x14ac:dyDescent="0.2">
      <c r="I160" s="2"/>
      <c r="J160" s="4">
        <v>860</v>
      </c>
      <c r="K160" s="5">
        <v>2013</v>
      </c>
      <c r="L160" s="5">
        <v>7</v>
      </c>
      <c r="M160" s="5">
        <v>20</v>
      </c>
      <c r="N160" s="3" t="str">
        <f t="shared" si="22"/>
        <v>2013,7,20</v>
      </c>
      <c r="O160" t="s">
        <v>26</v>
      </c>
      <c r="P160">
        <f t="shared" si="21"/>
        <v>14.333333333333334</v>
      </c>
      <c r="Q160" s="6">
        <f t="shared" si="20"/>
        <v>44.43333333333333</v>
      </c>
      <c r="R160" s="7"/>
      <c r="S160" s="7"/>
      <c r="T160" s="7" t="str">
        <f t="shared" si="23"/>
        <v/>
      </c>
      <c r="U160" s="7"/>
      <c r="V160">
        <f t="shared" si="24"/>
        <v>0</v>
      </c>
      <c r="W160" s="3">
        <f t="shared" si="25"/>
        <v>0</v>
      </c>
      <c r="X160" s="3">
        <f t="shared" si="26"/>
        <v>0</v>
      </c>
    </row>
    <row r="161" spans="9:24" x14ac:dyDescent="0.2">
      <c r="I161" s="2" t="s">
        <v>48</v>
      </c>
      <c r="J161" s="4">
        <v>108</v>
      </c>
      <c r="K161" s="5">
        <v>2013</v>
      </c>
      <c r="L161" s="5">
        <v>7</v>
      </c>
      <c r="M161" s="5">
        <v>20</v>
      </c>
      <c r="N161" s="3" t="str">
        <f t="shared" si="22"/>
        <v>2013,7,20</v>
      </c>
      <c r="O161" t="s">
        <v>26</v>
      </c>
      <c r="P161">
        <f t="shared" si="21"/>
        <v>1.8</v>
      </c>
      <c r="Q161" s="6">
        <f t="shared" si="20"/>
        <v>46.233333333333327</v>
      </c>
      <c r="R161" s="7">
        <v>0.4152777777777778</v>
      </c>
      <c r="S161" s="7">
        <f t="shared" si="27"/>
        <v>0.40625</v>
      </c>
      <c r="T161" s="7">
        <f t="shared" si="23"/>
        <v>0.44722222222222224</v>
      </c>
      <c r="U161" s="7">
        <f t="shared" si="28"/>
        <v>0.4375</v>
      </c>
      <c r="V161">
        <f t="shared" si="24"/>
        <v>9</v>
      </c>
      <c r="W161" s="3">
        <f t="shared" si="25"/>
        <v>0.96666666666666667</v>
      </c>
      <c r="X161" s="3">
        <f t="shared" si="26"/>
        <v>9.9666666666666668</v>
      </c>
    </row>
    <row r="162" spans="9:24" x14ac:dyDescent="0.2">
      <c r="I162" s="2"/>
      <c r="J162" s="4">
        <v>461</v>
      </c>
      <c r="K162" s="5">
        <v>2013</v>
      </c>
      <c r="L162" s="5">
        <v>7</v>
      </c>
      <c r="M162" s="5">
        <v>24</v>
      </c>
      <c r="N162" s="3" t="str">
        <f t="shared" si="22"/>
        <v>2013,7,24</v>
      </c>
      <c r="O162" t="s">
        <v>19</v>
      </c>
      <c r="P162">
        <f t="shared" si="21"/>
        <v>7.6833333333333336</v>
      </c>
      <c r="Q162" s="6">
        <f t="shared" ref="Q162:Q225" si="29">IF(O161=O162, Q161+P162,P162)</f>
        <v>7.6833333333333336</v>
      </c>
      <c r="R162" s="7"/>
      <c r="S162" s="7"/>
      <c r="T162" s="7" t="str">
        <f t="shared" si="23"/>
        <v/>
      </c>
      <c r="U162" s="7"/>
      <c r="V162">
        <f t="shared" si="24"/>
        <v>0</v>
      </c>
      <c r="W162" s="3">
        <f t="shared" si="25"/>
        <v>0</v>
      </c>
      <c r="X162" s="3">
        <f t="shared" si="26"/>
        <v>0</v>
      </c>
    </row>
    <row r="163" spans="9:24" x14ac:dyDescent="0.2">
      <c r="I163" s="2"/>
      <c r="J163" s="4">
        <v>288</v>
      </c>
      <c r="K163" s="5">
        <v>2013</v>
      </c>
      <c r="L163" s="5">
        <v>7</v>
      </c>
      <c r="M163" s="5">
        <v>24</v>
      </c>
      <c r="N163" s="3" t="str">
        <f t="shared" si="22"/>
        <v>2013,7,24</v>
      </c>
      <c r="O163" t="s">
        <v>19</v>
      </c>
      <c r="P163">
        <f t="shared" si="21"/>
        <v>4.8</v>
      </c>
      <c r="Q163" s="6">
        <f t="shared" si="29"/>
        <v>12.483333333333334</v>
      </c>
      <c r="R163" s="7"/>
      <c r="S163" s="7"/>
      <c r="T163" s="7" t="str">
        <f t="shared" si="23"/>
        <v/>
      </c>
      <c r="U163" s="7"/>
      <c r="V163">
        <f t="shared" si="24"/>
        <v>0</v>
      </c>
      <c r="W163" s="3">
        <f t="shared" si="25"/>
        <v>0</v>
      </c>
      <c r="X163" s="3">
        <f t="shared" si="26"/>
        <v>0</v>
      </c>
    </row>
    <row r="164" spans="9:24" x14ac:dyDescent="0.2">
      <c r="I164" s="2"/>
      <c r="J164" s="4">
        <v>249</v>
      </c>
      <c r="K164" s="5">
        <v>2013</v>
      </c>
      <c r="L164" s="5">
        <v>7</v>
      </c>
      <c r="M164" s="5">
        <v>24</v>
      </c>
      <c r="N164" s="3" t="str">
        <f t="shared" si="22"/>
        <v>2013,7,24</v>
      </c>
      <c r="O164" t="s">
        <v>19</v>
      </c>
      <c r="P164">
        <f t="shared" si="21"/>
        <v>4.1500000000000004</v>
      </c>
      <c r="Q164" s="6">
        <f t="shared" si="29"/>
        <v>16.633333333333333</v>
      </c>
      <c r="R164" s="7"/>
      <c r="S164" s="7"/>
      <c r="T164" s="7" t="str">
        <f t="shared" si="23"/>
        <v/>
      </c>
      <c r="U164" s="7"/>
      <c r="V164">
        <f t="shared" si="24"/>
        <v>0</v>
      </c>
      <c r="W164" s="3">
        <f t="shared" si="25"/>
        <v>0</v>
      </c>
      <c r="X164" s="3">
        <f t="shared" si="26"/>
        <v>0</v>
      </c>
    </row>
    <row r="165" spans="9:24" x14ac:dyDescent="0.2">
      <c r="I165" s="2"/>
      <c r="J165" s="4">
        <v>289</v>
      </c>
      <c r="K165" s="5">
        <v>2013</v>
      </c>
      <c r="L165" s="5">
        <v>7</v>
      </c>
      <c r="M165" s="5">
        <v>24</v>
      </c>
      <c r="N165" s="3" t="str">
        <f t="shared" si="22"/>
        <v>2013,7,24</v>
      </c>
      <c r="O165" t="s">
        <v>19</v>
      </c>
      <c r="P165">
        <f t="shared" si="21"/>
        <v>4.8166666666666664</v>
      </c>
      <c r="Q165" s="6">
        <f t="shared" si="29"/>
        <v>21.45</v>
      </c>
      <c r="R165" s="7"/>
      <c r="S165" s="7"/>
      <c r="T165" s="7" t="str">
        <f t="shared" si="23"/>
        <v/>
      </c>
      <c r="U165" s="7"/>
      <c r="V165">
        <f t="shared" si="24"/>
        <v>0</v>
      </c>
      <c r="W165" s="3">
        <f t="shared" si="25"/>
        <v>0</v>
      </c>
      <c r="X165" s="3">
        <f t="shared" si="26"/>
        <v>0</v>
      </c>
    </row>
    <row r="166" spans="9:24" x14ac:dyDescent="0.2">
      <c r="I166" s="2"/>
      <c r="J166" s="4">
        <v>207</v>
      </c>
      <c r="K166" s="5">
        <v>2013</v>
      </c>
      <c r="L166" s="5">
        <v>7</v>
      </c>
      <c r="M166" s="5">
        <v>24</v>
      </c>
      <c r="N166" s="3" t="str">
        <f t="shared" si="22"/>
        <v>2013,7,24</v>
      </c>
      <c r="O166" t="s">
        <v>19</v>
      </c>
      <c r="P166">
        <f t="shared" si="21"/>
        <v>3.45</v>
      </c>
      <c r="Q166" s="6">
        <f t="shared" si="29"/>
        <v>24.9</v>
      </c>
      <c r="R166" s="7"/>
      <c r="S166" s="7"/>
      <c r="T166" s="7" t="str">
        <f t="shared" si="23"/>
        <v/>
      </c>
      <c r="U166" s="7"/>
      <c r="V166">
        <f t="shared" si="24"/>
        <v>0</v>
      </c>
      <c r="W166" s="3">
        <f t="shared" si="25"/>
        <v>0</v>
      </c>
      <c r="X166" s="3">
        <f t="shared" si="26"/>
        <v>0</v>
      </c>
    </row>
    <row r="167" spans="9:24" x14ac:dyDescent="0.2">
      <c r="I167" s="2"/>
      <c r="J167" s="4">
        <v>621</v>
      </c>
      <c r="K167" s="5">
        <v>2013</v>
      </c>
      <c r="L167" s="5">
        <v>7</v>
      </c>
      <c r="M167" s="5">
        <v>24</v>
      </c>
      <c r="N167" s="3" t="str">
        <f t="shared" si="22"/>
        <v>2013,7,24</v>
      </c>
      <c r="O167" t="s">
        <v>19</v>
      </c>
      <c r="P167">
        <f t="shared" si="21"/>
        <v>10.35</v>
      </c>
      <c r="Q167" s="6">
        <f t="shared" si="29"/>
        <v>35.25</v>
      </c>
      <c r="R167" s="7"/>
      <c r="S167" s="7"/>
      <c r="T167" s="7" t="str">
        <f t="shared" si="23"/>
        <v/>
      </c>
      <c r="U167" s="7"/>
      <c r="V167">
        <f t="shared" si="24"/>
        <v>0</v>
      </c>
      <c r="W167" s="3">
        <f t="shared" si="25"/>
        <v>0</v>
      </c>
      <c r="X167" s="3">
        <f t="shared" si="26"/>
        <v>0</v>
      </c>
    </row>
    <row r="168" spans="9:24" x14ac:dyDescent="0.2">
      <c r="I168" s="2"/>
      <c r="J168" s="4">
        <v>374</v>
      </c>
      <c r="K168" s="5">
        <v>2013</v>
      </c>
      <c r="L168" s="5">
        <v>7</v>
      </c>
      <c r="M168" s="5">
        <v>24</v>
      </c>
      <c r="N168" s="3" t="str">
        <f t="shared" si="22"/>
        <v>2013,7,24</v>
      </c>
      <c r="O168" t="s">
        <v>19</v>
      </c>
      <c r="P168">
        <f t="shared" si="21"/>
        <v>6.2333333333333334</v>
      </c>
      <c r="Q168" s="6">
        <f t="shared" si="29"/>
        <v>41.483333333333334</v>
      </c>
      <c r="R168" s="7"/>
      <c r="S168" s="7"/>
      <c r="T168" s="7" t="str">
        <f t="shared" si="23"/>
        <v/>
      </c>
      <c r="U168" s="7"/>
      <c r="V168">
        <f t="shared" si="24"/>
        <v>0</v>
      </c>
      <c r="W168" s="3">
        <f t="shared" si="25"/>
        <v>0</v>
      </c>
      <c r="X168" s="3">
        <f t="shared" si="26"/>
        <v>0</v>
      </c>
    </row>
    <row r="169" spans="9:24" x14ac:dyDescent="0.2">
      <c r="I169" s="2" t="s">
        <v>49</v>
      </c>
      <c r="J169" s="4">
        <v>106</v>
      </c>
      <c r="K169" s="5">
        <v>2013</v>
      </c>
      <c r="L169" s="5">
        <v>7</v>
      </c>
      <c r="M169" s="5">
        <v>24</v>
      </c>
      <c r="N169" s="3" t="str">
        <f t="shared" si="22"/>
        <v>2013,7,24</v>
      </c>
      <c r="O169" t="s">
        <v>19</v>
      </c>
      <c r="P169">
        <f t="shared" si="21"/>
        <v>1.7666666666666666</v>
      </c>
      <c r="Q169" s="6">
        <f t="shared" si="29"/>
        <v>43.25</v>
      </c>
      <c r="R169" s="7">
        <v>0.25486111111111109</v>
      </c>
      <c r="S169" s="7">
        <f t="shared" si="27"/>
        <v>0.25</v>
      </c>
      <c r="T169" s="7">
        <f t="shared" si="23"/>
        <v>0.28472222222222221</v>
      </c>
      <c r="U169" s="7">
        <f t="shared" si="28"/>
        <v>0.28125</v>
      </c>
      <c r="V169">
        <f t="shared" si="24"/>
        <v>6</v>
      </c>
      <c r="W169" s="3">
        <f t="shared" si="25"/>
        <v>0.11666666666666667</v>
      </c>
      <c r="X169" s="3">
        <f t="shared" si="26"/>
        <v>6.1166666666666663</v>
      </c>
    </row>
    <row r="170" spans="9:24" x14ac:dyDescent="0.2">
      <c r="I170" s="2"/>
      <c r="J170" s="4">
        <v>199</v>
      </c>
      <c r="K170" s="5">
        <v>2013</v>
      </c>
      <c r="L170" s="5">
        <v>7</v>
      </c>
      <c r="M170" s="5">
        <v>28</v>
      </c>
      <c r="N170" s="3" t="str">
        <f t="shared" si="22"/>
        <v>2013,7,28</v>
      </c>
      <c r="O170" t="s">
        <v>21</v>
      </c>
      <c r="P170">
        <f t="shared" si="21"/>
        <v>3.3166666666666669</v>
      </c>
      <c r="Q170" s="6">
        <f t="shared" si="29"/>
        <v>3.3166666666666669</v>
      </c>
      <c r="R170" s="7"/>
      <c r="S170" s="7"/>
      <c r="T170" s="7" t="str">
        <f t="shared" si="23"/>
        <v/>
      </c>
      <c r="U170" s="7"/>
      <c r="V170">
        <f t="shared" si="24"/>
        <v>0</v>
      </c>
      <c r="W170" s="3">
        <f t="shared" si="25"/>
        <v>0</v>
      </c>
      <c r="X170" s="3">
        <f t="shared" si="26"/>
        <v>0</v>
      </c>
    </row>
    <row r="171" spans="9:24" x14ac:dyDescent="0.2">
      <c r="I171" s="2"/>
      <c r="J171" s="4">
        <v>283</v>
      </c>
      <c r="K171" s="5">
        <v>2013</v>
      </c>
      <c r="L171" s="5">
        <v>7</v>
      </c>
      <c r="M171" s="5">
        <v>28</v>
      </c>
      <c r="N171" s="3" t="str">
        <f t="shared" si="22"/>
        <v>2013,7,28</v>
      </c>
      <c r="O171" t="s">
        <v>21</v>
      </c>
      <c r="P171">
        <f t="shared" si="21"/>
        <v>4.7166666666666668</v>
      </c>
      <c r="Q171" s="6">
        <f t="shared" si="29"/>
        <v>8.0333333333333332</v>
      </c>
      <c r="R171" s="7"/>
      <c r="S171" s="7"/>
      <c r="T171" s="7" t="str">
        <f t="shared" si="23"/>
        <v/>
      </c>
      <c r="U171" s="7"/>
      <c r="V171">
        <f t="shared" si="24"/>
        <v>0</v>
      </c>
      <c r="W171" s="3">
        <f t="shared" si="25"/>
        <v>0</v>
      </c>
      <c r="X171" s="3">
        <f t="shared" si="26"/>
        <v>0</v>
      </c>
    </row>
    <row r="172" spans="9:24" x14ac:dyDescent="0.2">
      <c r="I172" s="2"/>
      <c r="J172" s="4">
        <v>405</v>
      </c>
      <c r="K172" s="5">
        <v>2013</v>
      </c>
      <c r="L172" s="5">
        <v>7</v>
      </c>
      <c r="M172" s="5">
        <v>28</v>
      </c>
      <c r="N172" s="3" t="str">
        <f t="shared" si="22"/>
        <v>2013,7,28</v>
      </c>
      <c r="O172" t="s">
        <v>21</v>
      </c>
      <c r="P172">
        <f t="shared" si="21"/>
        <v>6.75</v>
      </c>
      <c r="Q172" s="6">
        <f t="shared" si="29"/>
        <v>14.783333333333333</v>
      </c>
      <c r="R172" s="7"/>
      <c r="S172" s="7"/>
      <c r="T172" s="7" t="str">
        <f t="shared" si="23"/>
        <v/>
      </c>
      <c r="U172" s="7"/>
      <c r="V172">
        <f t="shared" si="24"/>
        <v>0</v>
      </c>
      <c r="W172" s="3">
        <f t="shared" si="25"/>
        <v>0</v>
      </c>
      <c r="X172" s="3">
        <f t="shared" si="26"/>
        <v>0</v>
      </c>
    </row>
    <row r="173" spans="9:24" x14ac:dyDescent="0.2">
      <c r="I173" s="2"/>
      <c r="J173" s="4">
        <v>591</v>
      </c>
      <c r="K173" s="5">
        <v>2013</v>
      </c>
      <c r="L173" s="5">
        <v>7</v>
      </c>
      <c r="M173" s="5">
        <v>28</v>
      </c>
      <c r="N173" s="3" t="str">
        <f t="shared" si="22"/>
        <v>2013,7,28</v>
      </c>
      <c r="O173" t="s">
        <v>21</v>
      </c>
      <c r="P173">
        <f t="shared" si="21"/>
        <v>9.85</v>
      </c>
      <c r="Q173" s="6">
        <f t="shared" si="29"/>
        <v>24.633333333333333</v>
      </c>
      <c r="R173" s="7"/>
      <c r="S173" s="7"/>
      <c r="T173" s="7" t="str">
        <f t="shared" si="23"/>
        <v/>
      </c>
      <c r="U173" s="7"/>
      <c r="V173">
        <f t="shared" si="24"/>
        <v>0</v>
      </c>
      <c r="W173" s="3">
        <f t="shared" si="25"/>
        <v>0</v>
      </c>
      <c r="X173" s="3">
        <f t="shared" si="26"/>
        <v>0</v>
      </c>
    </row>
    <row r="174" spans="9:24" x14ac:dyDescent="0.2">
      <c r="I174" s="2" t="s">
        <v>50</v>
      </c>
      <c r="J174" s="4">
        <v>1017</v>
      </c>
      <c r="K174" s="5">
        <v>2013</v>
      </c>
      <c r="L174" s="5">
        <v>7</v>
      </c>
      <c r="M174" s="5">
        <v>28</v>
      </c>
      <c r="N174" s="3" t="str">
        <f t="shared" si="22"/>
        <v>2013,7,28</v>
      </c>
      <c r="O174" t="s">
        <v>21</v>
      </c>
      <c r="P174">
        <f t="shared" si="21"/>
        <v>16.95</v>
      </c>
      <c r="Q174" s="6">
        <f t="shared" si="29"/>
        <v>41.583333333333329</v>
      </c>
      <c r="R174" s="7">
        <v>0.65763888888888888</v>
      </c>
      <c r="S174" s="7">
        <f t="shared" si="27"/>
        <v>0.65625</v>
      </c>
      <c r="T174" s="7">
        <f t="shared" si="23"/>
        <v>0.68611111111111112</v>
      </c>
      <c r="U174" s="7">
        <f t="shared" si="28"/>
        <v>0.67708333333333326</v>
      </c>
      <c r="V174">
        <f t="shared" si="24"/>
        <v>15</v>
      </c>
      <c r="W174" s="3">
        <f t="shared" si="25"/>
        <v>0.78333333333333333</v>
      </c>
      <c r="X174" s="3">
        <f t="shared" si="26"/>
        <v>15.783333333333333</v>
      </c>
    </row>
    <row r="175" spans="9:24" x14ac:dyDescent="0.2">
      <c r="I175" s="2"/>
      <c r="J175" s="4">
        <v>700</v>
      </c>
      <c r="K175" s="5">
        <v>2013</v>
      </c>
      <c r="L175" s="5">
        <v>7</v>
      </c>
      <c r="M175" s="5">
        <v>31</v>
      </c>
      <c r="N175" s="3" t="str">
        <f t="shared" si="22"/>
        <v>2013,7,31</v>
      </c>
      <c r="O175" t="s">
        <v>19</v>
      </c>
      <c r="P175">
        <f t="shared" si="21"/>
        <v>11.666666666666666</v>
      </c>
      <c r="Q175" s="6">
        <f t="shared" si="29"/>
        <v>11.666666666666666</v>
      </c>
      <c r="R175" s="7"/>
      <c r="S175" s="7"/>
      <c r="T175" s="7" t="str">
        <f t="shared" si="23"/>
        <v/>
      </c>
      <c r="U175" s="7"/>
      <c r="V175">
        <f t="shared" si="24"/>
        <v>0</v>
      </c>
      <c r="W175" s="3">
        <f t="shared" si="25"/>
        <v>0</v>
      </c>
      <c r="X175" s="3">
        <f t="shared" si="26"/>
        <v>0</v>
      </c>
    </row>
    <row r="176" spans="9:24" x14ac:dyDescent="0.2">
      <c r="I176" s="2"/>
      <c r="J176" s="4">
        <v>255</v>
      </c>
      <c r="K176" s="5">
        <v>2013</v>
      </c>
      <c r="L176" s="5">
        <v>7</v>
      </c>
      <c r="M176" s="5">
        <v>31</v>
      </c>
      <c r="N176" s="3" t="str">
        <f t="shared" si="22"/>
        <v>2013,7,31</v>
      </c>
      <c r="O176" t="s">
        <v>19</v>
      </c>
      <c r="P176">
        <f t="shared" si="21"/>
        <v>4.25</v>
      </c>
      <c r="Q176" s="6">
        <f t="shared" si="29"/>
        <v>15.916666666666666</v>
      </c>
      <c r="R176" s="7"/>
      <c r="S176" s="7"/>
      <c r="T176" s="7" t="str">
        <f t="shared" si="23"/>
        <v/>
      </c>
      <c r="U176" s="7"/>
      <c r="V176">
        <f t="shared" si="24"/>
        <v>0</v>
      </c>
      <c r="W176" s="3">
        <f t="shared" si="25"/>
        <v>0</v>
      </c>
      <c r="X176" s="3">
        <f t="shared" si="26"/>
        <v>0</v>
      </c>
    </row>
    <row r="177" spans="9:24" x14ac:dyDescent="0.2">
      <c r="I177" s="2"/>
      <c r="J177" s="4">
        <v>767</v>
      </c>
      <c r="K177" s="5">
        <v>2013</v>
      </c>
      <c r="L177" s="5">
        <v>7</v>
      </c>
      <c r="M177" s="5">
        <v>31</v>
      </c>
      <c r="N177" s="3" t="str">
        <f t="shared" si="22"/>
        <v>2013,7,31</v>
      </c>
      <c r="O177" t="s">
        <v>19</v>
      </c>
      <c r="P177">
        <f t="shared" si="21"/>
        <v>12.783333333333333</v>
      </c>
      <c r="Q177" s="6">
        <f t="shared" si="29"/>
        <v>28.7</v>
      </c>
      <c r="R177" s="7"/>
      <c r="S177" s="7"/>
      <c r="T177" s="7" t="str">
        <f t="shared" si="23"/>
        <v/>
      </c>
      <c r="U177" s="7"/>
      <c r="V177">
        <f t="shared" si="24"/>
        <v>0</v>
      </c>
      <c r="W177" s="3">
        <f t="shared" si="25"/>
        <v>0</v>
      </c>
      <c r="X177" s="3">
        <f t="shared" si="26"/>
        <v>0</v>
      </c>
    </row>
    <row r="178" spans="9:24" x14ac:dyDescent="0.2">
      <c r="I178" s="2"/>
      <c r="J178" s="4">
        <v>47</v>
      </c>
      <c r="K178" s="5">
        <v>2013</v>
      </c>
      <c r="L178" s="5">
        <v>7</v>
      </c>
      <c r="M178" s="5">
        <v>31</v>
      </c>
      <c r="N178" s="3" t="str">
        <f t="shared" si="22"/>
        <v>2013,7,31</v>
      </c>
      <c r="O178" t="s">
        <v>19</v>
      </c>
      <c r="P178">
        <f t="shared" si="21"/>
        <v>0.78333333333333333</v>
      </c>
      <c r="Q178" s="6">
        <f t="shared" si="29"/>
        <v>29.483333333333334</v>
      </c>
      <c r="R178" s="7"/>
      <c r="S178" s="7"/>
      <c r="T178" s="7" t="str">
        <f t="shared" si="23"/>
        <v/>
      </c>
      <c r="U178" s="7"/>
      <c r="V178">
        <f t="shared" si="24"/>
        <v>0</v>
      </c>
      <c r="W178" s="3">
        <f t="shared" si="25"/>
        <v>0</v>
      </c>
      <c r="X178" s="3">
        <f t="shared" si="26"/>
        <v>0</v>
      </c>
    </row>
    <row r="179" spans="9:24" x14ac:dyDescent="0.2">
      <c r="I179" s="2"/>
      <c r="J179" s="4">
        <v>240</v>
      </c>
      <c r="K179" s="5">
        <v>2013</v>
      </c>
      <c r="L179" s="5">
        <v>7</v>
      </c>
      <c r="M179" s="5">
        <v>31</v>
      </c>
      <c r="N179" s="3" t="str">
        <f t="shared" si="22"/>
        <v>2013,7,31</v>
      </c>
      <c r="O179" t="s">
        <v>19</v>
      </c>
      <c r="P179">
        <f t="shared" si="21"/>
        <v>4</v>
      </c>
      <c r="Q179" s="6">
        <f t="shared" si="29"/>
        <v>33.483333333333334</v>
      </c>
      <c r="R179" s="7"/>
      <c r="S179" s="7"/>
      <c r="T179" s="7" t="str">
        <f t="shared" si="23"/>
        <v/>
      </c>
      <c r="U179" s="7"/>
      <c r="V179">
        <f t="shared" si="24"/>
        <v>0</v>
      </c>
      <c r="W179" s="3">
        <f t="shared" si="25"/>
        <v>0</v>
      </c>
      <c r="X179" s="3">
        <f t="shared" si="26"/>
        <v>0</v>
      </c>
    </row>
    <row r="180" spans="9:24" x14ac:dyDescent="0.2">
      <c r="I180" s="2" t="s">
        <v>51</v>
      </c>
      <c r="J180" s="4">
        <v>332</v>
      </c>
      <c r="K180" s="5">
        <v>2013</v>
      </c>
      <c r="L180" s="5">
        <v>7</v>
      </c>
      <c r="M180" s="5">
        <v>31</v>
      </c>
      <c r="N180" s="3" t="str">
        <f t="shared" si="22"/>
        <v>2013,7,31</v>
      </c>
      <c r="O180" t="s">
        <v>19</v>
      </c>
      <c r="P180">
        <f t="shared" ref="P180:P243" si="30">J180/60</f>
        <v>5.5333333333333332</v>
      </c>
      <c r="Q180" s="6">
        <f t="shared" si="29"/>
        <v>39.016666666666666</v>
      </c>
      <c r="R180" s="7">
        <v>0.26250000000000001</v>
      </c>
      <c r="S180" s="7">
        <f t="shared" si="27"/>
        <v>0.26041666666666663</v>
      </c>
      <c r="T180" s="7">
        <f t="shared" si="23"/>
        <v>0.28958333333333336</v>
      </c>
      <c r="U180" s="7">
        <f t="shared" si="28"/>
        <v>0.28125</v>
      </c>
      <c r="V180">
        <f t="shared" si="24"/>
        <v>6</v>
      </c>
      <c r="W180" s="3">
        <f t="shared" si="25"/>
        <v>0.3</v>
      </c>
      <c r="X180" s="3">
        <f t="shared" si="26"/>
        <v>6.3</v>
      </c>
    </row>
    <row r="181" spans="9:24" x14ac:dyDescent="0.2">
      <c r="I181" s="2"/>
      <c r="J181" s="4">
        <v>317</v>
      </c>
      <c r="K181" s="5">
        <v>2013</v>
      </c>
      <c r="L181" s="5">
        <v>8</v>
      </c>
      <c r="M181" s="5">
        <v>3</v>
      </c>
      <c r="N181" s="3" t="str">
        <f t="shared" si="22"/>
        <v>2013,8,3</v>
      </c>
      <c r="O181" t="s">
        <v>26</v>
      </c>
      <c r="P181">
        <f t="shared" si="30"/>
        <v>5.2833333333333332</v>
      </c>
      <c r="Q181" s="6">
        <f t="shared" si="29"/>
        <v>5.2833333333333332</v>
      </c>
      <c r="R181" s="7"/>
      <c r="S181" s="7"/>
      <c r="T181" s="7" t="str">
        <f t="shared" si="23"/>
        <v/>
      </c>
      <c r="U181" s="7"/>
      <c r="V181">
        <f t="shared" si="24"/>
        <v>0</v>
      </c>
      <c r="W181" s="3">
        <f t="shared" si="25"/>
        <v>0</v>
      </c>
      <c r="X181" s="3">
        <f t="shared" si="26"/>
        <v>0</v>
      </c>
    </row>
    <row r="182" spans="9:24" x14ac:dyDescent="0.2">
      <c r="I182" s="2"/>
      <c r="J182" s="4">
        <v>160</v>
      </c>
      <c r="K182" s="5">
        <v>2013</v>
      </c>
      <c r="L182" s="5">
        <v>8</v>
      </c>
      <c r="M182" s="5">
        <v>3</v>
      </c>
      <c r="N182" s="3" t="str">
        <f t="shared" si="22"/>
        <v>2013,8,3</v>
      </c>
      <c r="O182" t="s">
        <v>26</v>
      </c>
      <c r="P182">
        <f t="shared" si="30"/>
        <v>2.6666666666666665</v>
      </c>
      <c r="Q182" s="6">
        <f t="shared" si="29"/>
        <v>7.9499999999999993</v>
      </c>
      <c r="R182" s="7"/>
      <c r="S182" s="7"/>
      <c r="T182" s="7" t="str">
        <f t="shared" si="23"/>
        <v/>
      </c>
      <c r="U182" s="7"/>
      <c r="V182">
        <f t="shared" si="24"/>
        <v>0</v>
      </c>
      <c r="W182" s="3">
        <f t="shared" si="25"/>
        <v>0</v>
      </c>
      <c r="X182" s="3">
        <f t="shared" si="26"/>
        <v>0</v>
      </c>
    </row>
    <row r="183" spans="9:24" x14ac:dyDescent="0.2">
      <c r="I183" s="2"/>
      <c r="J183" s="4">
        <v>424</v>
      </c>
      <c r="K183" s="5">
        <v>2013</v>
      </c>
      <c r="L183" s="5">
        <v>8</v>
      </c>
      <c r="M183" s="5">
        <v>3</v>
      </c>
      <c r="N183" s="3" t="str">
        <f t="shared" si="22"/>
        <v>2013,8,3</v>
      </c>
      <c r="O183" t="s">
        <v>26</v>
      </c>
      <c r="P183">
        <f t="shared" si="30"/>
        <v>7.0666666666666664</v>
      </c>
      <c r="Q183" s="6">
        <f t="shared" si="29"/>
        <v>15.016666666666666</v>
      </c>
      <c r="R183" s="7"/>
      <c r="S183" s="7"/>
      <c r="T183" s="7" t="str">
        <f t="shared" si="23"/>
        <v/>
      </c>
      <c r="U183" s="7"/>
      <c r="V183">
        <f t="shared" si="24"/>
        <v>0</v>
      </c>
      <c r="W183" s="3">
        <f t="shared" si="25"/>
        <v>0</v>
      </c>
      <c r="X183" s="3">
        <f t="shared" si="26"/>
        <v>0</v>
      </c>
    </row>
    <row r="184" spans="9:24" x14ac:dyDescent="0.2">
      <c r="I184" s="2"/>
      <c r="J184" s="4">
        <v>625</v>
      </c>
      <c r="K184" s="5">
        <v>2013</v>
      </c>
      <c r="L184" s="5">
        <v>8</v>
      </c>
      <c r="M184" s="5">
        <v>3</v>
      </c>
      <c r="N184" s="3" t="str">
        <f t="shared" si="22"/>
        <v>2013,8,3</v>
      </c>
      <c r="O184" t="s">
        <v>26</v>
      </c>
      <c r="P184">
        <f t="shared" si="30"/>
        <v>10.416666666666666</v>
      </c>
      <c r="Q184" s="6">
        <f t="shared" si="29"/>
        <v>25.43333333333333</v>
      </c>
      <c r="R184" s="7"/>
      <c r="S184" s="7"/>
      <c r="T184" s="7" t="str">
        <f t="shared" si="23"/>
        <v/>
      </c>
      <c r="U184" s="7"/>
      <c r="V184">
        <f t="shared" si="24"/>
        <v>0</v>
      </c>
      <c r="W184" s="3">
        <f t="shared" si="25"/>
        <v>0</v>
      </c>
      <c r="X184" s="3">
        <f t="shared" si="26"/>
        <v>0</v>
      </c>
    </row>
    <row r="185" spans="9:24" x14ac:dyDescent="0.2">
      <c r="I185" s="2"/>
      <c r="J185" s="4">
        <v>1183</v>
      </c>
      <c r="K185" s="5">
        <v>2013</v>
      </c>
      <c r="L185" s="5">
        <v>8</v>
      </c>
      <c r="M185" s="5">
        <v>3</v>
      </c>
      <c r="N185" s="3" t="str">
        <f t="shared" si="22"/>
        <v>2013,8,3</v>
      </c>
      <c r="O185" t="s">
        <v>26</v>
      </c>
      <c r="P185">
        <f t="shared" si="30"/>
        <v>19.716666666666665</v>
      </c>
      <c r="Q185" s="6">
        <f t="shared" si="29"/>
        <v>45.149999999999991</v>
      </c>
      <c r="R185" s="7"/>
      <c r="S185" s="7"/>
      <c r="T185" s="7" t="str">
        <f t="shared" si="23"/>
        <v/>
      </c>
      <c r="U185" s="7"/>
      <c r="V185">
        <f t="shared" si="24"/>
        <v>0</v>
      </c>
      <c r="W185" s="3">
        <f t="shared" si="25"/>
        <v>0</v>
      </c>
      <c r="X185" s="3">
        <f t="shared" si="26"/>
        <v>0</v>
      </c>
    </row>
    <row r="186" spans="9:24" x14ac:dyDescent="0.2">
      <c r="I186" s="2" t="s">
        <v>52</v>
      </c>
      <c r="J186" s="4">
        <v>426</v>
      </c>
      <c r="K186" s="5">
        <v>2013</v>
      </c>
      <c r="L186" s="5">
        <v>8</v>
      </c>
      <c r="M186" s="5">
        <v>3</v>
      </c>
      <c r="N186" s="3" t="str">
        <f t="shared" si="22"/>
        <v>2013,8,3</v>
      </c>
      <c r="O186" t="s">
        <v>26</v>
      </c>
      <c r="P186">
        <f t="shared" si="30"/>
        <v>7.1</v>
      </c>
      <c r="Q186" s="6">
        <f t="shared" si="29"/>
        <v>52.249999999999993</v>
      </c>
      <c r="R186" s="7">
        <v>0.48194444444444445</v>
      </c>
      <c r="S186" s="7">
        <f t="shared" si="27"/>
        <v>0.47916666666666663</v>
      </c>
      <c r="T186" s="7">
        <f t="shared" si="23"/>
        <v>0.5180555555555556</v>
      </c>
      <c r="U186" s="7">
        <f t="shared" si="28"/>
        <v>0.51041666666666663</v>
      </c>
      <c r="V186">
        <f t="shared" si="24"/>
        <v>11</v>
      </c>
      <c r="W186" s="3">
        <f t="shared" si="25"/>
        <v>0.56666666666666665</v>
      </c>
      <c r="X186" s="3">
        <f t="shared" si="26"/>
        <v>11.566666666666666</v>
      </c>
    </row>
    <row r="187" spans="9:24" x14ac:dyDescent="0.2">
      <c r="I187" s="2"/>
      <c r="J187" s="4">
        <v>434</v>
      </c>
      <c r="K187" s="5">
        <v>2013</v>
      </c>
      <c r="L187" s="5">
        <v>8</v>
      </c>
      <c r="M187" s="5">
        <v>8</v>
      </c>
      <c r="N187" s="3" t="str">
        <f t="shared" si="22"/>
        <v>2013,8,8</v>
      </c>
      <c r="O187" t="s">
        <v>53</v>
      </c>
      <c r="P187">
        <f t="shared" si="30"/>
        <v>7.2333333333333334</v>
      </c>
      <c r="Q187" s="6">
        <f t="shared" si="29"/>
        <v>7.2333333333333334</v>
      </c>
      <c r="R187" s="7"/>
      <c r="S187" s="7"/>
      <c r="T187" s="7" t="str">
        <f t="shared" si="23"/>
        <v/>
      </c>
      <c r="U187" s="7"/>
      <c r="V187">
        <f t="shared" si="24"/>
        <v>0</v>
      </c>
      <c r="W187" s="3">
        <f t="shared" si="25"/>
        <v>0</v>
      </c>
      <c r="X187" s="3">
        <f t="shared" si="26"/>
        <v>0</v>
      </c>
    </row>
    <row r="188" spans="9:24" x14ac:dyDescent="0.2">
      <c r="I188" s="2"/>
      <c r="J188" s="4">
        <v>485</v>
      </c>
      <c r="K188" s="5">
        <v>2013</v>
      </c>
      <c r="L188" s="5">
        <v>8</v>
      </c>
      <c r="M188" s="5">
        <v>8</v>
      </c>
      <c r="N188" s="3" t="str">
        <f t="shared" si="22"/>
        <v>2013,8,8</v>
      </c>
      <c r="O188" t="s">
        <v>53</v>
      </c>
      <c r="P188">
        <f t="shared" si="30"/>
        <v>8.0833333333333339</v>
      </c>
      <c r="Q188" s="6">
        <f t="shared" si="29"/>
        <v>15.316666666666666</v>
      </c>
      <c r="R188" s="7"/>
      <c r="S188" s="7"/>
      <c r="T188" s="7" t="str">
        <f t="shared" si="23"/>
        <v/>
      </c>
      <c r="U188" s="7"/>
      <c r="V188">
        <f t="shared" si="24"/>
        <v>0</v>
      </c>
      <c r="W188" s="3">
        <f t="shared" si="25"/>
        <v>0</v>
      </c>
      <c r="X188" s="3">
        <f t="shared" si="26"/>
        <v>0</v>
      </c>
    </row>
    <row r="189" spans="9:24" x14ac:dyDescent="0.2">
      <c r="I189" s="2"/>
      <c r="J189" s="4">
        <v>850</v>
      </c>
      <c r="K189" s="5">
        <v>2013</v>
      </c>
      <c r="L189" s="5">
        <v>8</v>
      </c>
      <c r="M189" s="5">
        <v>8</v>
      </c>
      <c r="N189" s="3" t="str">
        <f t="shared" si="22"/>
        <v>2013,8,8</v>
      </c>
      <c r="O189" t="s">
        <v>53</v>
      </c>
      <c r="P189">
        <f t="shared" si="30"/>
        <v>14.166666666666666</v>
      </c>
      <c r="Q189" s="6">
        <f t="shared" si="29"/>
        <v>29.483333333333334</v>
      </c>
      <c r="R189" s="7"/>
      <c r="S189" s="7"/>
      <c r="T189" s="7" t="str">
        <f t="shared" si="23"/>
        <v/>
      </c>
      <c r="U189" s="7"/>
      <c r="V189">
        <f t="shared" si="24"/>
        <v>0</v>
      </c>
      <c r="W189" s="3">
        <f t="shared" si="25"/>
        <v>0</v>
      </c>
      <c r="X189" s="3">
        <f t="shared" si="26"/>
        <v>0</v>
      </c>
    </row>
    <row r="190" spans="9:24" x14ac:dyDescent="0.2">
      <c r="I190" s="2"/>
      <c r="J190" s="4">
        <v>337</v>
      </c>
      <c r="K190" s="5">
        <v>2013</v>
      </c>
      <c r="L190" s="5">
        <v>8</v>
      </c>
      <c r="M190" s="5">
        <v>8</v>
      </c>
      <c r="N190" s="3" t="str">
        <f t="shared" si="22"/>
        <v>2013,8,8</v>
      </c>
      <c r="O190" t="s">
        <v>53</v>
      </c>
      <c r="P190">
        <f t="shared" si="30"/>
        <v>5.6166666666666663</v>
      </c>
      <c r="Q190" s="6">
        <f t="shared" si="29"/>
        <v>35.1</v>
      </c>
      <c r="R190" s="7"/>
      <c r="S190" s="7"/>
      <c r="T190" s="7" t="str">
        <f t="shared" si="23"/>
        <v/>
      </c>
      <c r="U190" s="7"/>
      <c r="V190">
        <f t="shared" si="24"/>
        <v>0</v>
      </c>
      <c r="W190" s="3">
        <f t="shared" si="25"/>
        <v>0</v>
      </c>
      <c r="X190" s="3">
        <f t="shared" si="26"/>
        <v>0</v>
      </c>
    </row>
    <row r="191" spans="9:24" x14ac:dyDescent="0.2">
      <c r="I191" s="2"/>
      <c r="J191" s="4">
        <v>1496</v>
      </c>
      <c r="K191" s="5">
        <v>2013</v>
      </c>
      <c r="L191" s="5">
        <v>8</v>
      </c>
      <c r="M191" s="5">
        <v>8</v>
      </c>
      <c r="N191" s="3" t="str">
        <f t="shared" si="22"/>
        <v>2013,8,8</v>
      </c>
      <c r="O191" t="s">
        <v>53</v>
      </c>
      <c r="P191">
        <f t="shared" si="30"/>
        <v>24.933333333333334</v>
      </c>
      <c r="Q191" s="6">
        <f t="shared" si="29"/>
        <v>60.033333333333331</v>
      </c>
      <c r="R191" s="7"/>
      <c r="S191" s="7"/>
      <c r="T191" s="7" t="str">
        <f t="shared" si="23"/>
        <v/>
      </c>
      <c r="U191" s="7"/>
      <c r="V191">
        <f t="shared" si="24"/>
        <v>0</v>
      </c>
      <c r="W191" s="3">
        <f t="shared" si="25"/>
        <v>0</v>
      </c>
      <c r="X191" s="3">
        <f t="shared" si="26"/>
        <v>0</v>
      </c>
    </row>
    <row r="192" spans="9:24" x14ac:dyDescent="0.2">
      <c r="I192" s="2" t="s">
        <v>54</v>
      </c>
      <c r="J192" s="4">
        <v>547</v>
      </c>
      <c r="K192" s="5">
        <v>2013</v>
      </c>
      <c r="L192" s="5">
        <v>8</v>
      </c>
      <c r="M192" s="5">
        <v>8</v>
      </c>
      <c r="N192" s="3" t="str">
        <f t="shared" si="22"/>
        <v>2013,8,8</v>
      </c>
      <c r="O192" t="s">
        <v>53</v>
      </c>
      <c r="P192">
        <f t="shared" si="30"/>
        <v>9.1166666666666671</v>
      </c>
      <c r="Q192" s="6">
        <f t="shared" si="29"/>
        <v>69.150000000000006</v>
      </c>
      <c r="R192" s="7">
        <v>0.30416666666666664</v>
      </c>
      <c r="S192" s="7">
        <f t="shared" si="27"/>
        <v>0.30208333333333331</v>
      </c>
      <c r="T192" s="7">
        <f t="shared" si="23"/>
        <v>0.3520833333333333</v>
      </c>
      <c r="U192" s="7">
        <f t="shared" si="28"/>
        <v>0.34375</v>
      </c>
      <c r="V192">
        <f t="shared" si="24"/>
        <v>7</v>
      </c>
      <c r="W192" s="3">
        <f t="shared" si="25"/>
        <v>0.3</v>
      </c>
      <c r="X192" s="3">
        <f t="shared" si="26"/>
        <v>7.3</v>
      </c>
    </row>
    <row r="193" spans="9:24" x14ac:dyDescent="0.2">
      <c r="I193" s="2"/>
      <c r="J193" s="4">
        <v>957</v>
      </c>
      <c r="K193" s="5">
        <v>2013</v>
      </c>
      <c r="L193" s="5">
        <v>8</v>
      </c>
      <c r="M193" s="5">
        <v>11</v>
      </c>
      <c r="N193" s="3" t="str">
        <f t="shared" si="22"/>
        <v>2013,8,11</v>
      </c>
      <c r="O193" t="s">
        <v>21</v>
      </c>
      <c r="P193">
        <f t="shared" si="30"/>
        <v>15.95</v>
      </c>
      <c r="Q193" s="6">
        <f t="shared" si="29"/>
        <v>15.95</v>
      </c>
      <c r="R193" s="7"/>
      <c r="S193" s="7"/>
      <c r="T193" s="7" t="str">
        <f t="shared" si="23"/>
        <v/>
      </c>
      <c r="U193" s="7"/>
      <c r="V193">
        <f t="shared" si="24"/>
        <v>0</v>
      </c>
      <c r="W193" s="3">
        <f t="shared" si="25"/>
        <v>0</v>
      </c>
      <c r="X193" s="3">
        <f t="shared" si="26"/>
        <v>0</v>
      </c>
    </row>
    <row r="194" spans="9:24" x14ac:dyDescent="0.2">
      <c r="I194" s="2"/>
      <c r="J194" s="4">
        <v>597</v>
      </c>
      <c r="K194" s="5">
        <v>2013</v>
      </c>
      <c r="L194" s="5">
        <v>8</v>
      </c>
      <c r="M194" s="5">
        <v>11</v>
      </c>
      <c r="N194" s="3" t="str">
        <f t="shared" si="22"/>
        <v>2013,8,11</v>
      </c>
      <c r="O194" t="s">
        <v>21</v>
      </c>
      <c r="P194">
        <f t="shared" si="30"/>
        <v>9.9499999999999993</v>
      </c>
      <c r="Q194" s="6">
        <f t="shared" si="29"/>
        <v>25.9</v>
      </c>
      <c r="R194" s="7"/>
      <c r="S194" s="7"/>
      <c r="T194" s="7" t="str">
        <f t="shared" si="23"/>
        <v/>
      </c>
      <c r="U194" s="7"/>
      <c r="V194">
        <f t="shared" si="24"/>
        <v>0</v>
      </c>
      <c r="W194" s="3">
        <f t="shared" si="25"/>
        <v>0</v>
      </c>
      <c r="X194" s="3">
        <f t="shared" si="26"/>
        <v>0</v>
      </c>
    </row>
    <row r="195" spans="9:24" x14ac:dyDescent="0.2">
      <c r="I195" s="2"/>
      <c r="J195" s="4">
        <v>1800</v>
      </c>
      <c r="K195" s="5">
        <v>2013</v>
      </c>
      <c r="L195" s="5">
        <v>8</v>
      </c>
      <c r="M195" s="5">
        <v>11</v>
      </c>
      <c r="N195" s="3" t="str">
        <f t="shared" ref="N195:N258" si="31">K195&amp;","&amp;L195&amp;","&amp;M195</f>
        <v>2013,8,11</v>
      </c>
      <c r="O195" t="s">
        <v>21</v>
      </c>
      <c r="P195">
        <f t="shared" si="30"/>
        <v>30</v>
      </c>
      <c r="Q195" s="6">
        <f t="shared" si="29"/>
        <v>55.9</v>
      </c>
      <c r="R195" s="7"/>
      <c r="S195" s="7"/>
      <c r="T195" s="7" t="str">
        <f t="shared" ref="T195:T258" si="32">IF(ISBLANK(R195),"",R195+TIME(0,Q195,0))</f>
        <v/>
      </c>
      <c r="U195" s="7"/>
      <c r="V195">
        <f t="shared" si="24"/>
        <v>0</v>
      </c>
      <c r="W195" s="3">
        <f t="shared" si="25"/>
        <v>0</v>
      </c>
      <c r="X195" s="3">
        <f t="shared" si="26"/>
        <v>0</v>
      </c>
    </row>
    <row r="196" spans="9:24" x14ac:dyDescent="0.2">
      <c r="I196" s="2"/>
      <c r="J196" s="4">
        <v>445</v>
      </c>
      <c r="K196" s="5">
        <v>2013</v>
      </c>
      <c r="L196" s="5">
        <v>8</v>
      </c>
      <c r="M196" s="5">
        <v>11</v>
      </c>
      <c r="N196" s="3" t="str">
        <f t="shared" si="31"/>
        <v>2013,8,11</v>
      </c>
      <c r="O196" t="s">
        <v>21</v>
      </c>
      <c r="P196">
        <f t="shared" si="30"/>
        <v>7.416666666666667</v>
      </c>
      <c r="Q196" s="6">
        <f t="shared" si="29"/>
        <v>63.316666666666663</v>
      </c>
      <c r="R196" s="7"/>
      <c r="S196" s="7"/>
      <c r="T196" s="7" t="str">
        <f t="shared" si="32"/>
        <v/>
      </c>
      <c r="U196" s="7"/>
      <c r="V196">
        <f t="shared" ref="V196:V259" si="33">HOUR(R196)</f>
        <v>0</v>
      </c>
      <c r="W196" s="3">
        <f t="shared" ref="W196:W259" si="34">MINUTE(R196)/60</f>
        <v>0</v>
      </c>
      <c r="X196" s="3">
        <f t="shared" ref="X196:X259" si="35">V196+W196</f>
        <v>0</v>
      </c>
    </row>
    <row r="197" spans="9:24" x14ac:dyDescent="0.2">
      <c r="I197" s="2" t="s">
        <v>55</v>
      </c>
      <c r="J197" s="4">
        <v>133</v>
      </c>
      <c r="K197" s="5">
        <v>2013</v>
      </c>
      <c r="L197" s="5">
        <v>8</v>
      </c>
      <c r="M197" s="5">
        <v>11</v>
      </c>
      <c r="N197" s="3" t="str">
        <f t="shared" si="31"/>
        <v>2013,8,11</v>
      </c>
      <c r="O197" t="s">
        <v>21</v>
      </c>
      <c r="P197">
        <f t="shared" si="30"/>
        <v>2.2166666666666668</v>
      </c>
      <c r="Q197" s="6">
        <f t="shared" si="29"/>
        <v>65.533333333333331</v>
      </c>
      <c r="R197" s="7">
        <v>0.6791666666666667</v>
      </c>
      <c r="S197" s="7">
        <f t="shared" ref="S197:S256" si="36">FLOOR(R197,"0:15")</f>
        <v>0.67708333333333326</v>
      </c>
      <c r="T197" s="7">
        <f t="shared" si="32"/>
        <v>0.72430555555555554</v>
      </c>
      <c r="U197" s="7">
        <f t="shared" ref="U197:U256" si="37">FLOOR(T197,"0:15")</f>
        <v>0.71875</v>
      </c>
      <c r="V197">
        <f t="shared" si="33"/>
        <v>16</v>
      </c>
      <c r="W197" s="3">
        <f t="shared" si="34"/>
        <v>0.3</v>
      </c>
      <c r="X197" s="3">
        <f t="shared" si="35"/>
        <v>16.3</v>
      </c>
    </row>
    <row r="198" spans="9:24" x14ac:dyDescent="0.2">
      <c r="I198" s="2"/>
      <c r="J198" s="4">
        <v>488</v>
      </c>
      <c r="K198" s="5">
        <v>2013</v>
      </c>
      <c r="L198" s="5">
        <v>8</v>
      </c>
      <c r="M198" s="5">
        <v>14</v>
      </c>
      <c r="N198" s="3" t="str">
        <f t="shared" si="31"/>
        <v>2013,8,14</v>
      </c>
      <c r="O198" t="s">
        <v>19</v>
      </c>
      <c r="P198">
        <f t="shared" si="30"/>
        <v>8.1333333333333329</v>
      </c>
      <c r="Q198" s="6">
        <f t="shared" si="29"/>
        <v>8.1333333333333329</v>
      </c>
      <c r="R198" s="7"/>
      <c r="S198" s="7"/>
      <c r="T198" s="7" t="str">
        <f t="shared" si="32"/>
        <v/>
      </c>
      <c r="U198" s="7"/>
      <c r="V198">
        <f t="shared" si="33"/>
        <v>0</v>
      </c>
      <c r="W198" s="3">
        <f t="shared" si="34"/>
        <v>0</v>
      </c>
      <c r="X198" s="3">
        <f t="shared" si="35"/>
        <v>0</v>
      </c>
    </row>
    <row r="199" spans="9:24" x14ac:dyDescent="0.2">
      <c r="I199" s="2"/>
      <c r="J199" s="4">
        <v>520</v>
      </c>
      <c r="K199" s="5">
        <v>2013</v>
      </c>
      <c r="L199" s="5">
        <v>8</v>
      </c>
      <c r="M199" s="5">
        <v>14</v>
      </c>
      <c r="N199" s="3" t="str">
        <f t="shared" si="31"/>
        <v>2013,8,14</v>
      </c>
      <c r="O199" t="s">
        <v>19</v>
      </c>
      <c r="P199">
        <f t="shared" si="30"/>
        <v>8.6666666666666661</v>
      </c>
      <c r="Q199" s="6">
        <f t="shared" si="29"/>
        <v>16.799999999999997</v>
      </c>
      <c r="R199" s="7"/>
      <c r="S199" s="7"/>
      <c r="T199" s="7" t="str">
        <f t="shared" si="32"/>
        <v/>
      </c>
      <c r="U199" s="7"/>
      <c r="V199">
        <f t="shared" si="33"/>
        <v>0</v>
      </c>
      <c r="W199" s="3">
        <f t="shared" si="34"/>
        <v>0</v>
      </c>
      <c r="X199" s="3">
        <f t="shared" si="35"/>
        <v>0</v>
      </c>
    </row>
    <row r="200" spans="9:24" x14ac:dyDescent="0.2">
      <c r="I200" s="2" t="s">
        <v>56</v>
      </c>
      <c r="J200" s="4">
        <v>1573</v>
      </c>
      <c r="K200" s="5">
        <v>2013</v>
      </c>
      <c r="L200" s="5">
        <v>8</v>
      </c>
      <c r="M200" s="5">
        <v>14</v>
      </c>
      <c r="N200" s="3" t="str">
        <f t="shared" si="31"/>
        <v>2013,8,14</v>
      </c>
      <c r="O200" t="s">
        <v>19</v>
      </c>
      <c r="P200">
        <f t="shared" si="30"/>
        <v>26.216666666666665</v>
      </c>
      <c r="Q200" s="6">
        <f t="shared" si="29"/>
        <v>43.016666666666666</v>
      </c>
      <c r="R200" s="7">
        <v>0.3298611111111111</v>
      </c>
      <c r="S200" s="7">
        <f t="shared" si="36"/>
        <v>0.32291666666666663</v>
      </c>
      <c r="T200" s="7">
        <f t="shared" si="32"/>
        <v>0.35972222222222222</v>
      </c>
      <c r="U200" s="7">
        <f t="shared" si="37"/>
        <v>0.35416666666666663</v>
      </c>
      <c r="V200">
        <f t="shared" si="33"/>
        <v>7</v>
      </c>
      <c r="W200" s="3">
        <f t="shared" si="34"/>
        <v>0.91666666666666663</v>
      </c>
      <c r="X200" s="3">
        <f t="shared" si="35"/>
        <v>7.916666666666667</v>
      </c>
    </row>
    <row r="201" spans="9:24" x14ac:dyDescent="0.2">
      <c r="I201" s="2"/>
      <c r="J201" s="4">
        <v>144</v>
      </c>
      <c r="K201" s="5">
        <v>2013</v>
      </c>
      <c r="L201" s="5">
        <v>8</v>
      </c>
      <c r="M201" s="5">
        <v>18</v>
      </c>
      <c r="N201" s="3" t="str">
        <f t="shared" si="31"/>
        <v>2013,8,18</v>
      </c>
      <c r="O201" t="s">
        <v>21</v>
      </c>
      <c r="P201">
        <f t="shared" si="30"/>
        <v>2.4</v>
      </c>
      <c r="Q201" s="6">
        <f t="shared" si="29"/>
        <v>2.4</v>
      </c>
      <c r="R201" s="7"/>
      <c r="S201" s="7"/>
      <c r="T201" s="7" t="str">
        <f t="shared" si="32"/>
        <v/>
      </c>
      <c r="U201" s="7"/>
      <c r="V201">
        <f t="shared" si="33"/>
        <v>0</v>
      </c>
      <c r="W201" s="3">
        <f t="shared" si="34"/>
        <v>0</v>
      </c>
      <c r="X201" s="3">
        <f t="shared" si="35"/>
        <v>0</v>
      </c>
    </row>
    <row r="202" spans="9:24" x14ac:dyDescent="0.2">
      <c r="I202" s="2"/>
      <c r="J202" s="4">
        <v>1112</v>
      </c>
      <c r="K202" s="5">
        <v>2013</v>
      </c>
      <c r="L202" s="5">
        <v>8</v>
      </c>
      <c r="M202" s="5">
        <v>18</v>
      </c>
      <c r="N202" s="3" t="str">
        <f t="shared" si="31"/>
        <v>2013,8,18</v>
      </c>
      <c r="O202" t="s">
        <v>21</v>
      </c>
      <c r="P202">
        <f t="shared" si="30"/>
        <v>18.533333333333335</v>
      </c>
      <c r="Q202" s="6">
        <f t="shared" si="29"/>
        <v>20.933333333333334</v>
      </c>
      <c r="R202" s="7"/>
      <c r="S202" s="7"/>
      <c r="T202" s="7" t="str">
        <f t="shared" si="32"/>
        <v/>
      </c>
      <c r="U202" s="7"/>
      <c r="V202">
        <f t="shared" si="33"/>
        <v>0</v>
      </c>
      <c r="W202" s="3">
        <f t="shared" si="34"/>
        <v>0</v>
      </c>
      <c r="X202" s="3">
        <f t="shared" si="35"/>
        <v>0</v>
      </c>
    </row>
    <row r="203" spans="9:24" x14ac:dyDescent="0.2">
      <c r="I203" s="2"/>
      <c r="J203" s="4">
        <v>0</v>
      </c>
      <c r="K203" s="9"/>
      <c r="L203" s="9"/>
      <c r="M203" s="9"/>
      <c r="N203" s="3"/>
      <c r="O203" t="s">
        <v>21</v>
      </c>
      <c r="P203">
        <f t="shared" si="30"/>
        <v>0</v>
      </c>
      <c r="Q203" s="6">
        <f>IF(O202=O203, Q202+P203,P203)</f>
        <v>20.933333333333334</v>
      </c>
      <c r="R203" s="7"/>
      <c r="S203" s="7"/>
      <c r="T203" s="7" t="str">
        <f t="shared" si="32"/>
        <v/>
      </c>
      <c r="U203" s="7"/>
      <c r="V203">
        <f t="shared" si="33"/>
        <v>0</v>
      </c>
      <c r="W203" s="3">
        <f t="shared" si="34"/>
        <v>0</v>
      </c>
      <c r="X203" s="3">
        <f t="shared" si="35"/>
        <v>0</v>
      </c>
    </row>
    <row r="204" spans="9:24" x14ac:dyDescent="0.2">
      <c r="I204" s="2" t="s">
        <v>57</v>
      </c>
      <c r="J204" s="4">
        <v>72</v>
      </c>
      <c r="K204" s="5">
        <v>2013</v>
      </c>
      <c r="L204" s="5">
        <v>8</v>
      </c>
      <c r="M204" s="5">
        <v>18</v>
      </c>
      <c r="N204" s="3" t="str">
        <f t="shared" si="31"/>
        <v>2013,8,18</v>
      </c>
      <c r="O204" t="s">
        <v>21</v>
      </c>
      <c r="P204">
        <f t="shared" si="30"/>
        <v>1.2</v>
      </c>
      <c r="Q204" s="6">
        <f t="shared" si="29"/>
        <v>22.133333333333333</v>
      </c>
      <c r="R204" s="7">
        <v>0.67013888888888884</v>
      </c>
      <c r="S204" s="7">
        <f t="shared" si="36"/>
        <v>0.66666666666666663</v>
      </c>
      <c r="T204" s="7">
        <f t="shared" si="32"/>
        <v>0.68541666666666656</v>
      </c>
      <c r="U204" s="7">
        <f t="shared" si="37"/>
        <v>0.67708333333333326</v>
      </c>
      <c r="V204">
        <f t="shared" si="33"/>
        <v>16</v>
      </c>
      <c r="W204" s="3">
        <f t="shared" si="34"/>
        <v>8.3333333333333329E-2</v>
      </c>
      <c r="X204" s="3">
        <f t="shared" si="35"/>
        <v>16.083333333333332</v>
      </c>
    </row>
    <row r="205" spans="9:24" x14ac:dyDescent="0.2">
      <c r="I205" s="2"/>
      <c r="J205" s="4">
        <v>451</v>
      </c>
      <c r="K205" s="5">
        <v>2013</v>
      </c>
      <c r="L205" s="5">
        <v>8</v>
      </c>
      <c r="M205" s="5">
        <v>22</v>
      </c>
      <c r="N205" s="3" t="str">
        <f t="shared" si="31"/>
        <v>2013,8,22</v>
      </c>
      <c r="O205" t="s">
        <v>53</v>
      </c>
      <c r="P205">
        <f t="shared" si="30"/>
        <v>7.5166666666666666</v>
      </c>
      <c r="Q205" s="6">
        <f t="shared" si="29"/>
        <v>7.5166666666666666</v>
      </c>
      <c r="R205" s="7"/>
      <c r="S205" s="7"/>
      <c r="T205" s="7" t="str">
        <f t="shared" si="32"/>
        <v/>
      </c>
      <c r="U205" s="7"/>
      <c r="V205">
        <f t="shared" si="33"/>
        <v>0</v>
      </c>
      <c r="W205" s="3">
        <f t="shared" si="34"/>
        <v>0</v>
      </c>
      <c r="X205" s="3">
        <f t="shared" si="35"/>
        <v>0</v>
      </c>
    </row>
    <row r="206" spans="9:24" x14ac:dyDescent="0.2">
      <c r="I206" s="2"/>
      <c r="J206" s="4">
        <v>578</v>
      </c>
      <c r="K206" s="5">
        <v>2013</v>
      </c>
      <c r="L206" s="5">
        <v>8</v>
      </c>
      <c r="M206" s="5">
        <v>22</v>
      </c>
      <c r="N206" s="3" t="str">
        <f t="shared" si="31"/>
        <v>2013,8,22</v>
      </c>
      <c r="O206" t="s">
        <v>53</v>
      </c>
      <c r="P206">
        <f t="shared" si="30"/>
        <v>9.6333333333333329</v>
      </c>
      <c r="Q206" s="6">
        <f t="shared" si="29"/>
        <v>17.149999999999999</v>
      </c>
      <c r="R206" s="7"/>
      <c r="S206" s="7"/>
      <c r="T206" s="7" t="str">
        <f t="shared" si="32"/>
        <v/>
      </c>
      <c r="U206" s="7"/>
      <c r="V206">
        <f t="shared" si="33"/>
        <v>0</v>
      </c>
      <c r="W206" s="3">
        <f t="shared" si="34"/>
        <v>0</v>
      </c>
      <c r="X206" s="3">
        <f t="shared" si="35"/>
        <v>0</v>
      </c>
    </row>
    <row r="207" spans="9:24" x14ac:dyDescent="0.2">
      <c r="I207" s="2"/>
      <c r="J207" s="4">
        <v>1135</v>
      </c>
      <c r="K207" s="5">
        <v>2013</v>
      </c>
      <c r="L207" s="5">
        <v>8</v>
      </c>
      <c r="M207" s="5">
        <v>22</v>
      </c>
      <c r="N207" s="3" t="str">
        <f t="shared" si="31"/>
        <v>2013,8,22</v>
      </c>
      <c r="O207" t="s">
        <v>53</v>
      </c>
      <c r="P207">
        <f t="shared" si="30"/>
        <v>18.916666666666668</v>
      </c>
      <c r="Q207" s="6">
        <f t="shared" si="29"/>
        <v>36.066666666666663</v>
      </c>
      <c r="R207" s="7"/>
      <c r="S207" s="7"/>
      <c r="T207" s="7" t="str">
        <f t="shared" si="32"/>
        <v/>
      </c>
      <c r="U207" s="7"/>
      <c r="V207">
        <f t="shared" si="33"/>
        <v>0</v>
      </c>
      <c r="W207" s="3">
        <f t="shared" si="34"/>
        <v>0</v>
      </c>
      <c r="X207" s="3">
        <f t="shared" si="35"/>
        <v>0</v>
      </c>
    </row>
    <row r="208" spans="9:24" x14ac:dyDescent="0.2">
      <c r="I208" s="2" t="s">
        <v>58</v>
      </c>
      <c r="J208" s="4">
        <v>918</v>
      </c>
      <c r="K208" s="5">
        <v>2013</v>
      </c>
      <c r="L208" s="5">
        <v>8</v>
      </c>
      <c r="M208" s="5">
        <v>22</v>
      </c>
      <c r="N208" s="3" t="str">
        <f t="shared" si="31"/>
        <v>2013,8,22</v>
      </c>
      <c r="O208" t="s">
        <v>53</v>
      </c>
      <c r="P208">
        <f t="shared" si="30"/>
        <v>15.3</v>
      </c>
      <c r="Q208" s="6">
        <f t="shared" si="29"/>
        <v>51.36666666666666</v>
      </c>
      <c r="R208" s="7">
        <v>0.30972222222222223</v>
      </c>
      <c r="S208" s="7">
        <f t="shared" si="36"/>
        <v>0.30208333333333331</v>
      </c>
      <c r="T208" s="7">
        <f t="shared" si="32"/>
        <v>0.34513888888888888</v>
      </c>
      <c r="U208" s="7">
        <f t="shared" si="37"/>
        <v>0.34375</v>
      </c>
      <c r="V208">
        <f t="shared" si="33"/>
        <v>7</v>
      </c>
      <c r="W208" s="3">
        <f t="shared" si="34"/>
        <v>0.43333333333333335</v>
      </c>
      <c r="X208" s="3">
        <f t="shared" si="35"/>
        <v>7.4333333333333336</v>
      </c>
    </row>
    <row r="209" spans="9:24" x14ac:dyDescent="0.2">
      <c r="I209" s="2"/>
      <c r="J209" s="4">
        <v>1578</v>
      </c>
      <c r="K209" s="5">
        <v>2013</v>
      </c>
      <c r="L209" s="5">
        <v>8</v>
      </c>
      <c r="M209" s="5">
        <v>24</v>
      </c>
      <c r="N209" s="3" t="str">
        <f t="shared" si="31"/>
        <v>2013,8,24</v>
      </c>
      <c r="O209" t="s">
        <v>26</v>
      </c>
      <c r="P209">
        <f t="shared" si="30"/>
        <v>26.3</v>
      </c>
      <c r="Q209" s="6">
        <f t="shared" si="29"/>
        <v>26.3</v>
      </c>
      <c r="R209" s="7"/>
      <c r="S209" s="7"/>
      <c r="T209" s="7" t="str">
        <f t="shared" si="32"/>
        <v/>
      </c>
      <c r="U209" s="7"/>
      <c r="V209">
        <f t="shared" si="33"/>
        <v>0</v>
      </c>
      <c r="W209" s="3">
        <f t="shared" si="34"/>
        <v>0</v>
      </c>
      <c r="X209" s="3">
        <f t="shared" si="35"/>
        <v>0</v>
      </c>
    </row>
    <row r="210" spans="9:24" x14ac:dyDescent="0.2">
      <c r="I210" s="2"/>
      <c r="J210" s="4">
        <v>880</v>
      </c>
      <c r="K210" s="5">
        <v>2013</v>
      </c>
      <c r="L210" s="5">
        <v>8</v>
      </c>
      <c r="M210" s="5">
        <v>24</v>
      </c>
      <c r="N210" s="3" t="str">
        <f t="shared" si="31"/>
        <v>2013,8,24</v>
      </c>
      <c r="O210" t="s">
        <v>26</v>
      </c>
      <c r="P210">
        <f t="shared" si="30"/>
        <v>14.666666666666666</v>
      </c>
      <c r="Q210" s="6">
        <f t="shared" si="29"/>
        <v>40.966666666666669</v>
      </c>
      <c r="R210" s="7"/>
      <c r="S210" s="7"/>
      <c r="T210" s="7" t="str">
        <f t="shared" si="32"/>
        <v/>
      </c>
      <c r="U210" s="7"/>
      <c r="V210">
        <f t="shared" si="33"/>
        <v>0</v>
      </c>
      <c r="W210" s="3">
        <f t="shared" si="34"/>
        <v>0</v>
      </c>
      <c r="X210" s="3">
        <f t="shared" si="35"/>
        <v>0</v>
      </c>
    </row>
    <row r="211" spans="9:24" x14ac:dyDescent="0.2">
      <c r="I211" s="2"/>
      <c r="J211" s="4">
        <v>251</v>
      </c>
      <c r="K211" s="5">
        <v>2013</v>
      </c>
      <c r="L211" s="5">
        <v>8</v>
      </c>
      <c r="M211" s="5">
        <v>24</v>
      </c>
      <c r="N211" s="3" t="str">
        <f t="shared" si="31"/>
        <v>2013,8,24</v>
      </c>
      <c r="O211" t="s">
        <v>26</v>
      </c>
      <c r="P211">
        <f t="shared" si="30"/>
        <v>4.1833333333333336</v>
      </c>
      <c r="Q211" s="6">
        <f t="shared" si="29"/>
        <v>45.150000000000006</v>
      </c>
      <c r="R211" s="7"/>
      <c r="S211" s="7"/>
      <c r="T211" s="7" t="str">
        <f t="shared" si="32"/>
        <v/>
      </c>
      <c r="U211" s="7"/>
      <c r="V211">
        <f t="shared" si="33"/>
        <v>0</v>
      </c>
      <c r="W211" s="3">
        <f t="shared" si="34"/>
        <v>0</v>
      </c>
      <c r="X211" s="3">
        <f t="shared" si="35"/>
        <v>0</v>
      </c>
    </row>
    <row r="212" spans="9:24" x14ac:dyDescent="0.2">
      <c r="I212" s="2" t="s">
        <v>59</v>
      </c>
      <c r="J212" s="4">
        <v>187</v>
      </c>
      <c r="K212" s="5">
        <v>2013</v>
      </c>
      <c r="L212" s="5">
        <v>8</v>
      </c>
      <c r="M212" s="5">
        <v>24</v>
      </c>
      <c r="N212" s="3" t="str">
        <f t="shared" si="31"/>
        <v>2013,8,24</v>
      </c>
      <c r="O212" t="s">
        <v>26</v>
      </c>
      <c r="P212">
        <f t="shared" si="30"/>
        <v>3.1166666666666667</v>
      </c>
      <c r="Q212" s="6">
        <f t="shared" si="29"/>
        <v>48.266666666666673</v>
      </c>
      <c r="R212" s="7">
        <v>0.5131944444444444</v>
      </c>
      <c r="S212" s="7">
        <f t="shared" si="36"/>
        <v>0.51041666666666663</v>
      </c>
      <c r="T212" s="7">
        <f t="shared" si="32"/>
        <v>0.54652777777777772</v>
      </c>
      <c r="U212" s="7">
        <f t="shared" si="37"/>
        <v>0.54166666666666663</v>
      </c>
      <c r="V212">
        <f t="shared" si="33"/>
        <v>12</v>
      </c>
      <c r="W212" s="3">
        <f t="shared" si="34"/>
        <v>0.31666666666666665</v>
      </c>
      <c r="X212" s="3">
        <f t="shared" si="35"/>
        <v>12.316666666666666</v>
      </c>
    </row>
    <row r="213" spans="9:24" x14ac:dyDescent="0.2">
      <c r="I213" s="2"/>
      <c r="J213" s="4">
        <v>850</v>
      </c>
      <c r="K213" s="5">
        <v>2013</v>
      </c>
      <c r="L213" s="5">
        <v>8</v>
      </c>
      <c r="M213" s="5">
        <v>29</v>
      </c>
      <c r="N213" s="3" t="str">
        <f t="shared" si="31"/>
        <v>2013,8,29</v>
      </c>
      <c r="O213" t="s">
        <v>53</v>
      </c>
      <c r="P213">
        <f t="shared" si="30"/>
        <v>14.166666666666666</v>
      </c>
      <c r="Q213" s="6">
        <f t="shared" si="29"/>
        <v>14.166666666666666</v>
      </c>
      <c r="R213" s="7"/>
      <c r="S213" s="7"/>
      <c r="T213" s="7" t="str">
        <f t="shared" si="32"/>
        <v/>
      </c>
      <c r="U213" s="7"/>
      <c r="V213">
        <f t="shared" si="33"/>
        <v>0</v>
      </c>
      <c r="W213" s="3">
        <f t="shared" si="34"/>
        <v>0</v>
      </c>
      <c r="X213" s="3">
        <f t="shared" si="35"/>
        <v>0</v>
      </c>
    </row>
    <row r="214" spans="9:24" x14ac:dyDescent="0.2">
      <c r="I214" s="2"/>
      <c r="J214" s="4">
        <v>895</v>
      </c>
      <c r="K214" s="5">
        <v>2013</v>
      </c>
      <c r="L214" s="5">
        <v>8</v>
      </c>
      <c r="M214" s="5">
        <v>29</v>
      </c>
      <c r="N214" s="3" t="str">
        <f t="shared" si="31"/>
        <v>2013,8,29</v>
      </c>
      <c r="O214" t="s">
        <v>53</v>
      </c>
      <c r="P214">
        <f t="shared" si="30"/>
        <v>14.916666666666666</v>
      </c>
      <c r="Q214" s="6">
        <f t="shared" si="29"/>
        <v>29.083333333333332</v>
      </c>
      <c r="R214" s="7"/>
      <c r="S214" s="7"/>
      <c r="T214" s="7" t="str">
        <f t="shared" si="32"/>
        <v/>
      </c>
      <c r="U214" s="7"/>
      <c r="V214">
        <f t="shared" si="33"/>
        <v>0</v>
      </c>
      <c r="W214" s="3">
        <f t="shared" si="34"/>
        <v>0</v>
      </c>
      <c r="X214" s="3">
        <f t="shared" si="35"/>
        <v>0</v>
      </c>
    </row>
    <row r="215" spans="9:24" x14ac:dyDescent="0.2">
      <c r="I215" s="2"/>
      <c r="J215" s="4">
        <v>819</v>
      </c>
      <c r="K215" s="5">
        <v>2013</v>
      </c>
      <c r="L215" s="5">
        <v>8</v>
      </c>
      <c r="M215" s="5">
        <v>29</v>
      </c>
      <c r="N215" s="3" t="str">
        <f t="shared" si="31"/>
        <v>2013,8,29</v>
      </c>
      <c r="O215" t="s">
        <v>53</v>
      </c>
      <c r="P215">
        <f t="shared" si="30"/>
        <v>13.65</v>
      </c>
      <c r="Q215" s="6">
        <f t="shared" si="29"/>
        <v>42.733333333333334</v>
      </c>
      <c r="R215" s="7"/>
      <c r="S215" s="7"/>
      <c r="T215" s="7" t="str">
        <f t="shared" si="32"/>
        <v/>
      </c>
      <c r="U215" s="7"/>
      <c r="V215">
        <f t="shared" si="33"/>
        <v>0</v>
      </c>
      <c r="W215" s="3">
        <f t="shared" si="34"/>
        <v>0</v>
      </c>
      <c r="X215" s="3">
        <f t="shared" si="35"/>
        <v>0</v>
      </c>
    </row>
    <row r="216" spans="9:24" x14ac:dyDescent="0.2">
      <c r="I216" s="2"/>
      <c r="J216" s="4">
        <v>379</v>
      </c>
      <c r="K216" s="5">
        <v>2013</v>
      </c>
      <c r="L216" s="5">
        <v>8</v>
      </c>
      <c r="M216" s="5">
        <v>29</v>
      </c>
      <c r="N216" s="3" t="str">
        <f t="shared" si="31"/>
        <v>2013,8,29</v>
      </c>
      <c r="O216" t="s">
        <v>53</v>
      </c>
      <c r="P216">
        <f t="shared" si="30"/>
        <v>6.3166666666666664</v>
      </c>
      <c r="Q216" s="6">
        <f t="shared" si="29"/>
        <v>49.05</v>
      </c>
      <c r="R216" s="7"/>
      <c r="S216" s="7"/>
      <c r="T216" s="7" t="str">
        <f t="shared" si="32"/>
        <v/>
      </c>
      <c r="U216" s="7"/>
      <c r="V216">
        <f t="shared" si="33"/>
        <v>0</v>
      </c>
      <c r="W216" s="3">
        <f t="shared" si="34"/>
        <v>0</v>
      </c>
      <c r="X216" s="3">
        <f t="shared" si="35"/>
        <v>0</v>
      </c>
    </row>
    <row r="217" spans="9:24" x14ac:dyDescent="0.2">
      <c r="I217" s="2" t="s">
        <v>60</v>
      </c>
      <c r="J217" s="4">
        <v>787</v>
      </c>
      <c r="K217" s="5">
        <v>2013</v>
      </c>
      <c r="L217" s="5">
        <v>8</v>
      </c>
      <c r="M217" s="5">
        <v>29</v>
      </c>
      <c r="N217" s="3" t="str">
        <f t="shared" si="31"/>
        <v>2013,8,29</v>
      </c>
      <c r="O217" t="s">
        <v>53</v>
      </c>
      <c r="P217">
        <f t="shared" si="30"/>
        <v>13.116666666666667</v>
      </c>
      <c r="Q217" s="6">
        <f t="shared" si="29"/>
        <v>62.166666666666664</v>
      </c>
      <c r="R217" s="7">
        <v>0.50902777777777775</v>
      </c>
      <c r="S217" s="7">
        <f t="shared" si="36"/>
        <v>0.5</v>
      </c>
      <c r="T217" s="7">
        <f t="shared" si="32"/>
        <v>0.55208333333333326</v>
      </c>
      <c r="U217" s="7">
        <f t="shared" si="37"/>
        <v>0.55208333333333326</v>
      </c>
      <c r="V217">
        <f t="shared" si="33"/>
        <v>12</v>
      </c>
      <c r="W217" s="3">
        <f t="shared" si="34"/>
        <v>0.21666666666666667</v>
      </c>
      <c r="X217" s="3">
        <f t="shared" si="35"/>
        <v>12.216666666666667</v>
      </c>
    </row>
    <row r="218" spans="9:24" x14ac:dyDescent="0.2">
      <c r="I218" s="2"/>
      <c r="J218" s="4">
        <v>1284</v>
      </c>
      <c r="K218" s="5">
        <v>2013</v>
      </c>
      <c r="L218" s="5">
        <v>9</v>
      </c>
      <c r="M218" s="5">
        <v>1</v>
      </c>
      <c r="N218" s="3" t="str">
        <f t="shared" si="31"/>
        <v>2013,9,1</v>
      </c>
      <c r="O218" t="s">
        <v>21</v>
      </c>
      <c r="P218">
        <f t="shared" si="30"/>
        <v>21.4</v>
      </c>
      <c r="Q218" s="6">
        <f t="shared" si="29"/>
        <v>21.4</v>
      </c>
      <c r="R218" s="7"/>
      <c r="S218" s="7"/>
      <c r="T218" s="7" t="str">
        <f t="shared" si="32"/>
        <v/>
      </c>
      <c r="U218" s="7"/>
      <c r="V218">
        <f t="shared" si="33"/>
        <v>0</v>
      </c>
      <c r="W218" s="3">
        <f t="shared" si="34"/>
        <v>0</v>
      </c>
      <c r="X218" s="3">
        <f t="shared" si="35"/>
        <v>0</v>
      </c>
    </row>
    <row r="219" spans="9:24" x14ac:dyDescent="0.2">
      <c r="I219" s="2"/>
      <c r="J219" s="4">
        <v>477</v>
      </c>
      <c r="K219" s="5">
        <v>2013</v>
      </c>
      <c r="L219" s="5">
        <v>9</v>
      </c>
      <c r="M219" s="5">
        <v>1</v>
      </c>
      <c r="N219" s="3" t="str">
        <f t="shared" si="31"/>
        <v>2013,9,1</v>
      </c>
      <c r="O219" t="s">
        <v>21</v>
      </c>
      <c r="P219">
        <f t="shared" si="30"/>
        <v>7.95</v>
      </c>
      <c r="Q219" s="6">
        <f t="shared" si="29"/>
        <v>29.349999999999998</v>
      </c>
      <c r="R219" s="7"/>
      <c r="S219" s="7"/>
      <c r="T219" s="7" t="str">
        <f t="shared" si="32"/>
        <v/>
      </c>
      <c r="U219" s="7"/>
      <c r="V219">
        <f t="shared" si="33"/>
        <v>0</v>
      </c>
      <c r="W219" s="3">
        <f t="shared" si="34"/>
        <v>0</v>
      </c>
      <c r="X219" s="3">
        <f t="shared" si="35"/>
        <v>0</v>
      </c>
    </row>
    <row r="220" spans="9:24" x14ac:dyDescent="0.2">
      <c r="I220" s="2"/>
      <c r="J220" s="4">
        <v>115</v>
      </c>
      <c r="K220" s="5">
        <v>2013</v>
      </c>
      <c r="L220" s="5">
        <v>9</v>
      </c>
      <c r="M220" s="5">
        <v>1</v>
      </c>
      <c r="N220" s="3" t="str">
        <f t="shared" si="31"/>
        <v>2013,9,1</v>
      </c>
      <c r="O220" t="s">
        <v>21</v>
      </c>
      <c r="P220">
        <f t="shared" si="30"/>
        <v>1.9166666666666667</v>
      </c>
      <c r="Q220" s="6">
        <f t="shared" si="29"/>
        <v>31.266666666666666</v>
      </c>
      <c r="R220" s="7"/>
      <c r="S220" s="7"/>
      <c r="T220" s="7" t="str">
        <f t="shared" si="32"/>
        <v/>
      </c>
      <c r="U220" s="7"/>
      <c r="V220">
        <f t="shared" si="33"/>
        <v>0</v>
      </c>
      <c r="W220" s="3">
        <f t="shared" si="34"/>
        <v>0</v>
      </c>
      <c r="X220" s="3">
        <f t="shared" si="35"/>
        <v>0</v>
      </c>
    </row>
    <row r="221" spans="9:24" x14ac:dyDescent="0.2">
      <c r="I221" s="2"/>
      <c r="J221" s="4">
        <v>1092</v>
      </c>
      <c r="K221" s="5">
        <v>2013</v>
      </c>
      <c r="L221" s="5">
        <v>9</v>
      </c>
      <c r="M221" s="5">
        <v>1</v>
      </c>
      <c r="N221" s="3" t="str">
        <f t="shared" si="31"/>
        <v>2013,9,1</v>
      </c>
      <c r="O221" t="s">
        <v>21</v>
      </c>
      <c r="P221">
        <f t="shared" si="30"/>
        <v>18.2</v>
      </c>
      <c r="Q221" s="6">
        <f t="shared" si="29"/>
        <v>49.466666666666669</v>
      </c>
      <c r="R221" s="7"/>
      <c r="S221" s="7"/>
      <c r="T221" s="7" t="str">
        <f t="shared" si="32"/>
        <v/>
      </c>
      <c r="U221" s="7"/>
      <c r="V221">
        <f t="shared" si="33"/>
        <v>0</v>
      </c>
      <c r="W221" s="3">
        <f t="shared" si="34"/>
        <v>0</v>
      </c>
      <c r="X221" s="3">
        <f t="shared" si="35"/>
        <v>0</v>
      </c>
    </row>
    <row r="222" spans="9:24" x14ac:dyDescent="0.2">
      <c r="I222" s="2" t="s">
        <v>61</v>
      </c>
      <c r="J222" s="4">
        <v>215</v>
      </c>
      <c r="K222" s="5">
        <v>2013</v>
      </c>
      <c r="L222" s="5">
        <v>9</v>
      </c>
      <c r="M222" s="5">
        <v>1</v>
      </c>
      <c r="N222" s="3" t="str">
        <f t="shared" si="31"/>
        <v>2013,9,1</v>
      </c>
      <c r="O222" t="s">
        <v>21</v>
      </c>
      <c r="P222">
        <f t="shared" si="30"/>
        <v>3.5833333333333335</v>
      </c>
      <c r="Q222" s="6">
        <f t="shared" si="29"/>
        <v>53.050000000000004</v>
      </c>
      <c r="R222" s="7">
        <v>0.29583333333333334</v>
      </c>
      <c r="S222" s="7">
        <f t="shared" si="36"/>
        <v>0.29166666666666663</v>
      </c>
      <c r="T222" s="7">
        <f t="shared" si="32"/>
        <v>0.33263888888888887</v>
      </c>
      <c r="U222" s="7">
        <f t="shared" si="37"/>
        <v>0.32291666666666663</v>
      </c>
      <c r="V222">
        <f t="shared" si="33"/>
        <v>7</v>
      </c>
      <c r="W222" s="3">
        <f t="shared" si="34"/>
        <v>0.1</v>
      </c>
      <c r="X222" s="3">
        <f t="shared" si="35"/>
        <v>7.1</v>
      </c>
    </row>
    <row r="223" spans="9:24" x14ac:dyDescent="0.2">
      <c r="I223" s="2"/>
      <c r="J223" s="4">
        <v>1083</v>
      </c>
      <c r="K223" s="5">
        <v>2013</v>
      </c>
      <c r="L223" s="5">
        <v>9</v>
      </c>
      <c r="M223" s="5">
        <v>5</v>
      </c>
      <c r="N223" s="3" t="str">
        <f t="shared" si="31"/>
        <v>2013,9,5</v>
      </c>
      <c r="O223" t="s">
        <v>53</v>
      </c>
      <c r="P223">
        <f t="shared" si="30"/>
        <v>18.05</v>
      </c>
      <c r="Q223" s="6">
        <f t="shared" si="29"/>
        <v>18.05</v>
      </c>
      <c r="R223" s="7"/>
      <c r="S223" s="7"/>
      <c r="T223" s="7" t="str">
        <f t="shared" si="32"/>
        <v/>
      </c>
      <c r="U223" s="7"/>
      <c r="V223">
        <f t="shared" si="33"/>
        <v>0</v>
      </c>
      <c r="W223" s="3">
        <f t="shared" si="34"/>
        <v>0</v>
      </c>
      <c r="X223" s="3">
        <f t="shared" si="35"/>
        <v>0</v>
      </c>
    </row>
    <row r="224" spans="9:24" x14ac:dyDescent="0.2">
      <c r="I224" s="2"/>
      <c r="J224" s="4">
        <v>1169</v>
      </c>
      <c r="K224" s="5">
        <v>2013</v>
      </c>
      <c r="L224" s="5">
        <v>9</v>
      </c>
      <c r="M224" s="5">
        <v>5</v>
      </c>
      <c r="N224" s="3" t="str">
        <f t="shared" si="31"/>
        <v>2013,9,5</v>
      </c>
      <c r="O224" t="s">
        <v>53</v>
      </c>
      <c r="P224">
        <f t="shared" si="30"/>
        <v>19.483333333333334</v>
      </c>
      <c r="Q224" s="6">
        <f t="shared" si="29"/>
        <v>37.533333333333331</v>
      </c>
      <c r="R224" s="7"/>
      <c r="S224" s="7"/>
      <c r="T224" s="7" t="str">
        <f t="shared" si="32"/>
        <v/>
      </c>
      <c r="U224" s="7"/>
      <c r="V224">
        <f t="shared" si="33"/>
        <v>0</v>
      </c>
      <c r="W224" s="3">
        <f t="shared" si="34"/>
        <v>0</v>
      </c>
      <c r="X224" s="3">
        <f t="shared" si="35"/>
        <v>0</v>
      </c>
    </row>
    <row r="225" spans="9:24" x14ac:dyDescent="0.2">
      <c r="I225" s="2" t="s">
        <v>62</v>
      </c>
      <c r="J225" s="4">
        <v>226</v>
      </c>
      <c r="K225" s="5">
        <v>2013</v>
      </c>
      <c r="L225" s="5">
        <v>9</v>
      </c>
      <c r="M225" s="5">
        <v>5</v>
      </c>
      <c r="N225" s="3" t="str">
        <f t="shared" si="31"/>
        <v>2013,9,5</v>
      </c>
      <c r="O225" t="s">
        <v>53</v>
      </c>
      <c r="P225">
        <f t="shared" si="30"/>
        <v>3.7666666666666666</v>
      </c>
      <c r="Q225" s="6">
        <f t="shared" si="29"/>
        <v>41.3</v>
      </c>
      <c r="R225" s="7">
        <v>0.25555555555555559</v>
      </c>
      <c r="S225" s="7">
        <f t="shared" si="36"/>
        <v>0.25</v>
      </c>
      <c r="T225" s="7">
        <f t="shared" si="32"/>
        <v>0.28402777777777782</v>
      </c>
      <c r="U225" s="7">
        <f t="shared" si="37"/>
        <v>0.28125</v>
      </c>
      <c r="V225">
        <f t="shared" si="33"/>
        <v>6</v>
      </c>
      <c r="W225" s="3">
        <f t="shared" si="34"/>
        <v>0.13333333333333333</v>
      </c>
      <c r="X225" s="3">
        <f t="shared" si="35"/>
        <v>6.1333333333333337</v>
      </c>
    </row>
    <row r="226" spans="9:24" x14ac:dyDescent="0.2">
      <c r="I226" s="2"/>
      <c r="J226" s="4">
        <v>285</v>
      </c>
      <c r="K226" s="5">
        <v>2013</v>
      </c>
      <c r="L226" s="5">
        <v>9</v>
      </c>
      <c r="M226" s="5">
        <v>8</v>
      </c>
      <c r="N226" s="3" t="str">
        <f t="shared" si="31"/>
        <v>2013,9,8</v>
      </c>
      <c r="O226" t="s">
        <v>21</v>
      </c>
      <c r="P226">
        <f t="shared" si="30"/>
        <v>4.75</v>
      </c>
      <c r="Q226" s="6">
        <f t="shared" ref="Q226:Q289" si="38">IF(O225=O226, Q225+P226,P226)</f>
        <v>4.75</v>
      </c>
      <c r="R226" s="7"/>
      <c r="S226" s="7"/>
      <c r="T226" s="7" t="str">
        <f t="shared" si="32"/>
        <v/>
      </c>
      <c r="U226" s="7"/>
      <c r="V226">
        <f t="shared" si="33"/>
        <v>0</v>
      </c>
      <c r="W226" s="3">
        <f t="shared" si="34"/>
        <v>0</v>
      </c>
      <c r="X226" s="3">
        <f t="shared" si="35"/>
        <v>0</v>
      </c>
    </row>
    <row r="227" spans="9:24" x14ac:dyDescent="0.2">
      <c r="I227" s="2"/>
      <c r="J227" s="4">
        <v>394</v>
      </c>
      <c r="K227" s="5">
        <v>2013</v>
      </c>
      <c r="L227" s="5">
        <v>9</v>
      </c>
      <c r="M227" s="5">
        <v>8</v>
      </c>
      <c r="N227" s="3" t="str">
        <f t="shared" si="31"/>
        <v>2013,9,8</v>
      </c>
      <c r="O227" t="s">
        <v>21</v>
      </c>
      <c r="P227">
        <f t="shared" si="30"/>
        <v>6.5666666666666664</v>
      </c>
      <c r="Q227" s="6">
        <f t="shared" si="38"/>
        <v>11.316666666666666</v>
      </c>
      <c r="R227" s="7"/>
      <c r="S227" s="7"/>
      <c r="T227" s="7" t="str">
        <f t="shared" si="32"/>
        <v/>
      </c>
      <c r="U227" s="7"/>
      <c r="V227">
        <f t="shared" si="33"/>
        <v>0</v>
      </c>
      <c r="W227" s="3">
        <f t="shared" si="34"/>
        <v>0</v>
      </c>
      <c r="X227" s="3">
        <f t="shared" si="35"/>
        <v>0</v>
      </c>
    </row>
    <row r="228" spans="9:24" x14ac:dyDescent="0.2">
      <c r="I228" s="2"/>
      <c r="J228" s="4">
        <v>402</v>
      </c>
      <c r="K228" s="5">
        <v>2013</v>
      </c>
      <c r="L228" s="5">
        <v>9</v>
      </c>
      <c r="M228" s="5">
        <v>8</v>
      </c>
      <c r="N228" s="3" t="str">
        <f t="shared" si="31"/>
        <v>2013,9,8</v>
      </c>
      <c r="O228" t="s">
        <v>21</v>
      </c>
      <c r="P228">
        <f t="shared" si="30"/>
        <v>6.7</v>
      </c>
      <c r="Q228" s="6">
        <f t="shared" si="38"/>
        <v>18.016666666666666</v>
      </c>
      <c r="R228" s="7"/>
      <c r="S228" s="7"/>
      <c r="T228" s="7" t="str">
        <f t="shared" si="32"/>
        <v/>
      </c>
      <c r="U228" s="7"/>
      <c r="V228">
        <f t="shared" si="33"/>
        <v>0</v>
      </c>
      <c r="W228" s="3">
        <f t="shared" si="34"/>
        <v>0</v>
      </c>
      <c r="X228" s="3">
        <f t="shared" si="35"/>
        <v>0</v>
      </c>
    </row>
    <row r="229" spans="9:24" x14ac:dyDescent="0.2">
      <c r="I229" s="2"/>
      <c r="J229" s="4">
        <v>618</v>
      </c>
      <c r="K229" s="5">
        <v>2013</v>
      </c>
      <c r="L229" s="5">
        <v>9</v>
      </c>
      <c r="M229" s="5">
        <v>8</v>
      </c>
      <c r="N229" s="3" t="str">
        <f t="shared" si="31"/>
        <v>2013,9,8</v>
      </c>
      <c r="O229" t="s">
        <v>21</v>
      </c>
      <c r="P229">
        <f t="shared" si="30"/>
        <v>10.3</v>
      </c>
      <c r="Q229" s="6">
        <f t="shared" si="38"/>
        <v>28.316666666666666</v>
      </c>
      <c r="R229" s="7"/>
      <c r="S229" s="7"/>
      <c r="T229" s="7" t="str">
        <f t="shared" si="32"/>
        <v/>
      </c>
      <c r="U229" s="7"/>
      <c r="V229">
        <f t="shared" si="33"/>
        <v>0</v>
      </c>
      <c r="W229" s="3">
        <f t="shared" si="34"/>
        <v>0</v>
      </c>
      <c r="X229" s="3">
        <f t="shared" si="35"/>
        <v>0</v>
      </c>
    </row>
    <row r="230" spans="9:24" x14ac:dyDescent="0.2">
      <c r="I230" s="2"/>
      <c r="J230" s="4">
        <v>260</v>
      </c>
      <c r="K230" s="5">
        <v>2013</v>
      </c>
      <c r="L230" s="5">
        <v>9</v>
      </c>
      <c r="M230" s="5">
        <v>8</v>
      </c>
      <c r="N230" s="3" t="str">
        <f t="shared" si="31"/>
        <v>2013,9,8</v>
      </c>
      <c r="O230" t="s">
        <v>21</v>
      </c>
      <c r="P230">
        <f t="shared" si="30"/>
        <v>4.333333333333333</v>
      </c>
      <c r="Q230" s="6">
        <f t="shared" si="38"/>
        <v>32.65</v>
      </c>
      <c r="R230" s="7"/>
      <c r="S230" s="7"/>
      <c r="T230" s="7" t="str">
        <f t="shared" si="32"/>
        <v/>
      </c>
      <c r="U230" s="7"/>
      <c r="V230">
        <f t="shared" si="33"/>
        <v>0</v>
      </c>
      <c r="W230" s="3">
        <f t="shared" si="34"/>
        <v>0</v>
      </c>
      <c r="X230" s="3">
        <f t="shared" si="35"/>
        <v>0</v>
      </c>
    </row>
    <row r="231" spans="9:24" x14ac:dyDescent="0.2">
      <c r="I231" s="2"/>
      <c r="J231" s="4">
        <v>514</v>
      </c>
      <c r="K231" s="5">
        <v>2013</v>
      </c>
      <c r="L231" s="5">
        <v>9</v>
      </c>
      <c r="M231" s="5">
        <v>8</v>
      </c>
      <c r="N231" s="3" t="str">
        <f t="shared" si="31"/>
        <v>2013,9,8</v>
      </c>
      <c r="O231" t="s">
        <v>21</v>
      </c>
      <c r="P231">
        <f t="shared" si="30"/>
        <v>8.5666666666666664</v>
      </c>
      <c r="Q231" s="6">
        <f t="shared" si="38"/>
        <v>41.216666666666669</v>
      </c>
      <c r="R231" s="7"/>
      <c r="S231" s="7"/>
      <c r="T231" s="7" t="str">
        <f t="shared" si="32"/>
        <v/>
      </c>
      <c r="U231" s="7"/>
      <c r="V231">
        <f t="shared" si="33"/>
        <v>0</v>
      </c>
      <c r="W231" s="3">
        <f t="shared" si="34"/>
        <v>0</v>
      </c>
      <c r="X231" s="3">
        <f t="shared" si="35"/>
        <v>0</v>
      </c>
    </row>
    <row r="232" spans="9:24" x14ac:dyDescent="0.2">
      <c r="I232" s="2" t="s">
        <v>63</v>
      </c>
      <c r="J232" s="4">
        <v>178</v>
      </c>
      <c r="K232" s="5">
        <v>2013</v>
      </c>
      <c r="L232" s="5">
        <v>9</v>
      </c>
      <c r="M232" s="5">
        <v>8</v>
      </c>
      <c r="N232" s="3" t="str">
        <f t="shared" si="31"/>
        <v>2013,9,8</v>
      </c>
      <c r="O232" t="s">
        <v>21</v>
      </c>
      <c r="P232">
        <f t="shared" si="30"/>
        <v>2.9666666666666668</v>
      </c>
      <c r="Q232" s="6">
        <f t="shared" si="38"/>
        <v>44.183333333333337</v>
      </c>
      <c r="R232" s="7">
        <v>0.7090277777777777</v>
      </c>
      <c r="S232" s="7">
        <f t="shared" si="36"/>
        <v>0.70833333333333326</v>
      </c>
      <c r="T232" s="7">
        <f t="shared" si="32"/>
        <v>0.73958333333333326</v>
      </c>
      <c r="U232" s="7">
        <f t="shared" si="37"/>
        <v>0.73958333333333326</v>
      </c>
      <c r="V232">
        <f t="shared" si="33"/>
        <v>17</v>
      </c>
      <c r="W232" s="3">
        <f t="shared" si="34"/>
        <v>1.6666666666666666E-2</v>
      </c>
      <c r="X232" s="3">
        <f t="shared" si="35"/>
        <v>17.016666666666666</v>
      </c>
    </row>
    <row r="233" spans="9:24" x14ac:dyDescent="0.2">
      <c r="I233" s="2"/>
      <c r="J233" s="4">
        <v>1123</v>
      </c>
      <c r="K233" s="5">
        <v>2013</v>
      </c>
      <c r="L233" s="5">
        <v>9</v>
      </c>
      <c r="M233" s="5">
        <v>11</v>
      </c>
      <c r="N233" s="3" t="str">
        <f t="shared" si="31"/>
        <v>2013,9,11</v>
      </c>
      <c r="O233" t="s">
        <v>19</v>
      </c>
      <c r="P233">
        <f t="shared" si="30"/>
        <v>18.716666666666665</v>
      </c>
      <c r="Q233" s="6">
        <f t="shared" si="38"/>
        <v>18.716666666666665</v>
      </c>
      <c r="R233" s="7"/>
      <c r="S233" s="7"/>
      <c r="T233" s="7" t="str">
        <f t="shared" si="32"/>
        <v/>
      </c>
      <c r="U233" s="7"/>
      <c r="V233">
        <f t="shared" si="33"/>
        <v>0</v>
      </c>
      <c r="W233" s="3">
        <f t="shared" si="34"/>
        <v>0</v>
      </c>
      <c r="X233" s="3">
        <f t="shared" si="35"/>
        <v>0</v>
      </c>
    </row>
    <row r="234" spans="9:24" x14ac:dyDescent="0.2">
      <c r="I234" s="2"/>
      <c r="J234" s="4">
        <v>238</v>
      </c>
      <c r="K234" s="5">
        <v>2013</v>
      </c>
      <c r="L234" s="5">
        <v>9</v>
      </c>
      <c r="M234" s="5">
        <v>11</v>
      </c>
      <c r="N234" s="3" t="str">
        <f t="shared" si="31"/>
        <v>2013,9,11</v>
      </c>
      <c r="O234" t="s">
        <v>19</v>
      </c>
      <c r="P234">
        <f t="shared" si="30"/>
        <v>3.9666666666666668</v>
      </c>
      <c r="Q234" s="6">
        <f t="shared" si="38"/>
        <v>22.68333333333333</v>
      </c>
      <c r="R234" s="7"/>
      <c r="S234" s="7"/>
      <c r="T234" s="7" t="str">
        <f t="shared" si="32"/>
        <v/>
      </c>
      <c r="U234" s="7"/>
      <c r="V234">
        <f t="shared" si="33"/>
        <v>0</v>
      </c>
      <c r="W234" s="3">
        <f t="shared" si="34"/>
        <v>0</v>
      </c>
      <c r="X234" s="3">
        <f t="shared" si="35"/>
        <v>0</v>
      </c>
    </row>
    <row r="235" spans="9:24" x14ac:dyDescent="0.2">
      <c r="I235" s="2"/>
      <c r="J235" s="4">
        <v>261</v>
      </c>
      <c r="K235" s="5">
        <v>2013</v>
      </c>
      <c r="L235" s="5">
        <v>9</v>
      </c>
      <c r="M235" s="5">
        <v>11</v>
      </c>
      <c r="N235" s="3" t="str">
        <f t="shared" si="31"/>
        <v>2013,9,11</v>
      </c>
      <c r="O235" t="s">
        <v>19</v>
      </c>
      <c r="P235">
        <f t="shared" si="30"/>
        <v>4.3499999999999996</v>
      </c>
      <c r="Q235" s="6">
        <f t="shared" si="38"/>
        <v>27.033333333333331</v>
      </c>
      <c r="R235" s="7"/>
      <c r="S235" s="7"/>
      <c r="T235" s="7" t="str">
        <f t="shared" si="32"/>
        <v/>
      </c>
      <c r="U235" s="7"/>
      <c r="V235">
        <f t="shared" si="33"/>
        <v>0</v>
      </c>
      <c r="W235" s="3">
        <f t="shared" si="34"/>
        <v>0</v>
      </c>
      <c r="X235" s="3">
        <f t="shared" si="35"/>
        <v>0</v>
      </c>
    </row>
    <row r="236" spans="9:24" x14ac:dyDescent="0.2">
      <c r="I236" s="2"/>
      <c r="J236" s="4">
        <v>290</v>
      </c>
      <c r="K236" s="5">
        <v>2013</v>
      </c>
      <c r="L236" s="5">
        <v>9</v>
      </c>
      <c r="M236" s="5">
        <v>11</v>
      </c>
      <c r="N236" s="3" t="str">
        <f t="shared" si="31"/>
        <v>2013,9,11</v>
      </c>
      <c r="O236" t="s">
        <v>19</v>
      </c>
      <c r="P236">
        <f t="shared" si="30"/>
        <v>4.833333333333333</v>
      </c>
      <c r="Q236" s="6">
        <f t="shared" si="38"/>
        <v>31.866666666666664</v>
      </c>
      <c r="R236" s="7"/>
      <c r="S236" s="7"/>
      <c r="T236" s="7" t="str">
        <f t="shared" si="32"/>
        <v/>
      </c>
      <c r="U236" s="7"/>
      <c r="V236">
        <f t="shared" si="33"/>
        <v>0</v>
      </c>
      <c r="W236" s="3">
        <f t="shared" si="34"/>
        <v>0</v>
      </c>
      <c r="X236" s="3">
        <f t="shared" si="35"/>
        <v>0</v>
      </c>
    </row>
    <row r="237" spans="9:24" x14ac:dyDescent="0.2">
      <c r="I237" s="2"/>
      <c r="J237" s="4">
        <v>563</v>
      </c>
      <c r="K237" s="5">
        <v>2013</v>
      </c>
      <c r="L237" s="5">
        <v>9</v>
      </c>
      <c r="M237" s="5">
        <v>11</v>
      </c>
      <c r="N237" s="3" t="str">
        <f t="shared" si="31"/>
        <v>2013,9,11</v>
      </c>
      <c r="O237" t="s">
        <v>19</v>
      </c>
      <c r="P237">
        <f t="shared" si="30"/>
        <v>9.3833333333333329</v>
      </c>
      <c r="Q237" s="6">
        <f t="shared" si="38"/>
        <v>41.25</v>
      </c>
      <c r="R237" s="7"/>
      <c r="S237" s="7"/>
      <c r="T237" s="7" t="str">
        <f t="shared" si="32"/>
        <v/>
      </c>
      <c r="U237" s="7"/>
      <c r="V237">
        <f t="shared" si="33"/>
        <v>0</v>
      </c>
      <c r="W237" s="3">
        <f t="shared" si="34"/>
        <v>0</v>
      </c>
      <c r="X237" s="3">
        <f t="shared" si="35"/>
        <v>0</v>
      </c>
    </row>
    <row r="238" spans="9:24" x14ac:dyDescent="0.2">
      <c r="I238" s="2" t="s">
        <v>64</v>
      </c>
      <c r="J238" s="4">
        <v>998</v>
      </c>
      <c r="K238" s="5">
        <v>2013</v>
      </c>
      <c r="L238" s="5">
        <v>9</v>
      </c>
      <c r="M238" s="5">
        <v>11</v>
      </c>
      <c r="N238" s="3" t="str">
        <f t="shared" si="31"/>
        <v>2013,9,11</v>
      </c>
      <c r="O238" t="s">
        <v>19</v>
      </c>
      <c r="P238">
        <f t="shared" si="30"/>
        <v>16.633333333333333</v>
      </c>
      <c r="Q238" s="6">
        <f t="shared" si="38"/>
        <v>57.883333333333333</v>
      </c>
      <c r="R238" s="7">
        <v>0.26597222222222222</v>
      </c>
      <c r="S238" s="7">
        <f t="shared" si="36"/>
        <v>0.26041666666666663</v>
      </c>
      <c r="T238" s="7">
        <f t="shared" si="32"/>
        <v>0.30555555555555558</v>
      </c>
      <c r="U238" s="7">
        <f t="shared" si="37"/>
        <v>0.30208333333333331</v>
      </c>
      <c r="V238">
        <f t="shared" si="33"/>
        <v>6</v>
      </c>
      <c r="W238" s="3">
        <f t="shared" si="34"/>
        <v>0.38333333333333336</v>
      </c>
      <c r="X238" s="3">
        <f t="shared" si="35"/>
        <v>6.3833333333333337</v>
      </c>
    </row>
    <row r="239" spans="9:24" x14ac:dyDescent="0.2">
      <c r="I239" s="2"/>
      <c r="J239" s="4">
        <v>486</v>
      </c>
      <c r="K239" s="5">
        <v>2013</v>
      </c>
      <c r="L239" s="5">
        <v>9</v>
      </c>
      <c r="M239" s="5">
        <v>15</v>
      </c>
      <c r="N239" s="3" t="str">
        <f t="shared" si="31"/>
        <v>2013,9,15</v>
      </c>
      <c r="O239" t="s">
        <v>21</v>
      </c>
      <c r="P239">
        <f t="shared" si="30"/>
        <v>8.1</v>
      </c>
      <c r="Q239" s="6">
        <f t="shared" si="38"/>
        <v>8.1</v>
      </c>
      <c r="R239" s="7"/>
      <c r="S239" s="7"/>
      <c r="T239" s="7" t="str">
        <f t="shared" si="32"/>
        <v/>
      </c>
      <c r="U239" s="7"/>
      <c r="V239">
        <f t="shared" si="33"/>
        <v>0</v>
      </c>
      <c r="W239" s="3">
        <f t="shared" si="34"/>
        <v>0</v>
      </c>
      <c r="X239" s="3">
        <f t="shared" si="35"/>
        <v>0</v>
      </c>
    </row>
    <row r="240" spans="9:24" x14ac:dyDescent="0.2">
      <c r="I240" s="2"/>
      <c r="J240" s="4">
        <v>461</v>
      </c>
      <c r="K240" s="5">
        <v>2013</v>
      </c>
      <c r="L240" s="5">
        <v>9</v>
      </c>
      <c r="M240" s="5">
        <v>15</v>
      </c>
      <c r="N240" s="3" t="str">
        <f t="shared" si="31"/>
        <v>2013,9,15</v>
      </c>
      <c r="O240" t="s">
        <v>21</v>
      </c>
      <c r="P240">
        <f t="shared" si="30"/>
        <v>7.6833333333333336</v>
      </c>
      <c r="Q240" s="6">
        <f t="shared" si="38"/>
        <v>15.783333333333333</v>
      </c>
      <c r="R240" s="7"/>
      <c r="S240" s="7"/>
      <c r="T240" s="7" t="str">
        <f t="shared" si="32"/>
        <v/>
      </c>
      <c r="U240" s="7"/>
      <c r="V240">
        <f t="shared" si="33"/>
        <v>0</v>
      </c>
      <c r="W240" s="3">
        <f t="shared" si="34"/>
        <v>0</v>
      </c>
      <c r="X240" s="3">
        <f t="shared" si="35"/>
        <v>0</v>
      </c>
    </row>
    <row r="241" spans="9:24" x14ac:dyDescent="0.2">
      <c r="I241" s="2"/>
      <c r="J241" s="4">
        <v>207</v>
      </c>
      <c r="K241" s="5">
        <v>2013</v>
      </c>
      <c r="L241" s="5">
        <v>9</v>
      </c>
      <c r="M241" s="5">
        <v>15</v>
      </c>
      <c r="N241" s="3" t="str">
        <f t="shared" si="31"/>
        <v>2013,9,15</v>
      </c>
      <c r="O241" t="s">
        <v>21</v>
      </c>
      <c r="P241">
        <f t="shared" si="30"/>
        <v>3.45</v>
      </c>
      <c r="Q241" s="6">
        <f t="shared" si="38"/>
        <v>19.233333333333334</v>
      </c>
      <c r="R241" s="7"/>
      <c r="S241" s="7"/>
      <c r="T241" s="7" t="str">
        <f t="shared" si="32"/>
        <v/>
      </c>
      <c r="U241" s="7"/>
      <c r="V241">
        <f t="shared" si="33"/>
        <v>0</v>
      </c>
      <c r="W241" s="3">
        <f t="shared" si="34"/>
        <v>0</v>
      </c>
      <c r="X241" s="3">
        <f t="shared" si="35"/>
        <v>0</v>
      </c>
    </row>
    <row r="242" spans="9:24" x14ac:dyDescent="0.2">
      <c r="I242" s="2"/>
      <c r="J242" s="4">
        <v>428</v>
      </c>
      <c r="K242" s="5">
        <v>2013</v>
      </c>
      <c r="L242" s="5">
        <v>9</v>
      </c>
      <c r="M242" s="5">
        <v>15</v>
      </c>
      <c r="N242" s="3" t="str">
        <f t="shared" si="31"/>
        <v>2013,9,15</v>
      </c>
      <c r="O242" t="s">
        <v>21</v>
      </c>
      <c r="P242">
        <f t="shared" si="30"/>
        <v>7.1333333333333337</v>
      </c>
      <c r="Q242" s="6">
        <f t="shared" si="38"/>
        <v>26.366666666666667</v>
      </c>
      <c r="R242" s="7"/>
      <c r="S242" s="7"/>
      <c r="T242" s="7" t="str">
        <f t="shared" si="32"/>
        <v/>
      </c>
      <c r="U242" s="7"/>
      <c r="V242">
        <f t="shared" si="33"/>
        <v>0</v>
      </c>
      <c r="W242" s="3">
        <f t="shared" si="34"/>
        <v>0</v>
      </c>
      <c r="X242" s="3">
        <f t="shared" si="35"/>
        <v>0</v>
      </c>
    </row>
    <row r="243" spans="9:24" x14ac:dyDescent="0.2">
      <c r="I243" s="2"/>
      <c r="J243" s="4">
        <v>482</v>
      </c>
      <c r="K243" s="5">
        <v>2013</v>
      </c>
      <c r="L243" s="5">
        <v>9</v>
      </c>
      <c r="M243" s="5">
        <v>15</v>
      </c>
      <c r="N243" s="3" t="str">
        <f t="shared" si="31"/>
        <v>2013,9,15</v>
      </c>
      <c r="O243" t="s">
        <v>21</v>
      </c>
      <c r="P243">
        <f t="shared" si="30"/>
        <v>8.0333333333333332</v>
      </c>
      <c r="Q243" s="6">
        <f t="shared" si="38"/>
        <v>34.4</v>
      </c>
      <c r="R243" s="7"/>
      <c r="S243" s="7"/>
      <c r="T243" s="7" t="str">
        <f t="shared" si="32"/>
        <v/>
      </c>
      <c r="U243" s="7"/>
      <c r="V243">
        <f t="shared" si="33"/>
        <v>0</v>
      </c>
      <c r="W243" s="3">
        <f t="shared" si="34"/>
        <v>0</v>
      </c>
      <c r="X243" s="3">
        <f t="shared" si="35"/>
        <v>0</v>
      </c>
    </row>
    <row r="244" spans="9:24" x14ac:dyDescent="0.2">
      <c r="I244" s="2" t="s">
        <v>65</v>
      </c>
      <c r="J244" s="4">
        <v>620</v>
      </c>
      <c r="K244" s="5">
        <v>2013</v>
      </c>
      <c r="L244" s="5">
        <v>9</v>
      </c>
      <c r="M244" s="5">
        <v>15</v>
      </c>
      <c r="N244" s="3" t="str">
        <f t="shared" si="31"/>
        <v>2013,9,15</v>
      </c>
      <c r="O244" t="s">
        <v>21</v>
      </c>
      <c r="P244">
        <f t="shared" ref="P244:P307" si="39">J244/60</f>
        <v>10.333333333333334</v>
      </c>
      <c r="Q244" s="6">
        <f t="shared" si="38"/>
        <v>44.733333333333334</v>
      </c>
      <c r="R244" s="7">
        <v>0.3263888888888889</v>
      </c>
      <c r="S244" s="7">
        <f t="shared" si="36"/>
        <v>0.32291666666666663</v>
      </c>
      <c r="T244" s="7">
        <f t="shared" si="32"/>
        <v>0.35694444444444445</v>
      </c>
      <c r="U244" s="7">
        <f t="shared" si="37"/>
        <v>0.35416666666666663</v>
      </c>
      <c r="V244">
        <f t="shared" si="33"/>
        <v>7</v>
      </c>
      <c r="W244" s="3">
        <f t="shared" si="34"/>
        <v>0.83333333333333337</v>
      </c>
      <c r="X244" s="3">
        <f t="shared" si="35"/>
        <v>7.833333333333333</v>
      </c>
    </row>
    <row r="245" spans="9:24" x14ac:dyDescent="0.2">
      <c r="I245" s="2"/>
      <c r="J245" s="4">
        <v>427</v>
      </c>
      <c r="K245" s="5">
        <v>2013</v>
      </c>
      <c r="L245" s="5">
        <v>9</v>
      </c>
      <c r="M245" s="5">
        <v>19</v>
      </c>
      <c r="N245" s="3" t="str">
        <f t="shared" si="31"/>
        <v>2013,9,19</v>
      </c>
      <c r="O245" t="s">
        <v>53</v>
      </c>
      <c r="P245">
        <f t="shared" si="39"/>
        <v>7.1166666666666663</v>
      </c>
      <c r="Q245" s="6">
        <f t="shared" si="38"/>
        <v>7.1166666666666663</v>
      </c>
      <c r="R245" s="7"/>
      <c r="S245" s="7"/>
      <c r="T245" s="7" t="str">
        <f t="shared" si="32"/>
        <v/>
      </c>
      <c r="U245" s="7"/>
      <c r="V245">
        <f t="shared" si="33"/>
        <v>0</v>
      </c>
      <c r="W245" s="3">
        <f t="shared" si="34"/>
        <v>0</v>
      </c>
      <c r="X245" s="3">
        <f t="shared" si="35"/>
        <v>0</v>
      </c>
    </row>
    <row r="246" spans="9:24" x14ac:dyDescent="0.2">
      <c r="I246" s="2"/>
      <c r="J246" s="4">
        <v>735</v>
      </c>
      <c r="K246" s="5">
        <v>2013</v>
      </c>
      <c r="L246" s="5">
        <v>9</v>
      </c>
      <c r="M246" s="5">
        <v>19</v>
      </c>
      <c r="N246" s="3" t="str">
        <f t="shared" si="31"/>
        <v>2013,9,19</v>
      </c>
      <c r="O246" t="s">
        <v>53</v>
      </c>
      <c r="P246">
        <f t="shared" si="39"/>
        <v>12.25</v>
      </c>
      <c r="Q246" s="6">
        <f t="shared" si="38"/>
        <v>19.366666666666667</v>
      </c>
      <c r="R246" s="7"/>
      <c r="S246" s="7"/>
      <c r="T246" s="7" t="str">
        <f t="shared" si="32"/>
        <v/>
      </c>
      <c r="U246" s="7"/>
      <c r="V246">
        <f t="shared" si="33"/>
        <v>0</v>
      </c>
      <c r="W246" s="3">
        <f t="shared" si="34"/>
        <v>0</v>
      </c>
      <c r="X246" s="3">
        <f t="shared" si="35"/>
        <v>0</v>
      </c>
    </row>
    <row r="247" spans="9:24" x14ac:dyDescent="0.2">
      <c r="I247" s="2"/>
      <c r="J247" s="4">
        <v>959</v>
      </c>
      <c r="K247" s="5">
        <v>2013</v>
      </c>
      <c r="L247" s="5">
        <v>9</v>
      </c>
      <c r="M247" s="5">
        <v>19</v>
      </c>
      <c r="N247" s="3" t="str">
        <f t="shared" si="31"/>
        <v>2013,9,19</v>
      </c>
      <c r="O247" t="s">
        <v>53</v>
      </c>
      <c r="P247">
        <f t="shared" si="39"/>
        <v>15.983333333333333</v>
      </c>
      <c r="Q247" s="6">
        <f t="shared" si="38"/>
        <v>35.35</v>
      </c>
      <c r="R247" s="7"/>
      <c r="S247" s="7"/>
      <c r="T247" s="7" t="str">
        <f t="shared" si="32"/>
        <v/>
      </c>
      <c r="U247" s="7"/>
      <c r="V247">
        <f t="shared" si="33"/>
        <v>0</v>
      </c>
      <c r="W247" s="3">
        <f t="shared" si="34"/>
        <v>0</v>
      </c>
      <c r="X247" s="3">
        <f t="shared" si="35"/>
        <v>0</v>
      </c>
    </row>
    <row r="248" spans="9:24" x14ac:dyDescent="0.2">
      <c r="I248" s="2"/>
      <c r="J248" s="4">
        <v>305</v>
      </c>
      <c r="K248" s="5">
        <v>2013</v>
      </c>
      <c r="L248" s="5">
        <v>9</v>
      </c>
      <c r="M248" s="5">
        <v>19</v>
      </c>
      <c r="N248" s="3" t="str">
        <f t="shared" si="31"/>
        <v>2013,9,19</v>
      </c>
      <c r="O248" t="s">
        <v>53</v>
      </c>
      <c r="P248">
        <f t="shared" si="39"/>
        <v>5.083333333333333</v>
      </c>
      <c r="Q248" s="6">
        <f t="shared" si="38"/>
        <v>40.433333333333337</v>
      </c>
      <c r="R248" s="7"/>
      <c r="S248" s="7"/>
      <c r="T248" s="7" t="str">
        <f t="shared" si="32"/>
        <v/>
      </c>
      <c r="U248" s="7"/>
      <c r="V248">
        <f t="shared" si="33"/>
        <v>0</v>
      </c>
      <c r="W248" s="3">
        <f t="shared" si="34"/>
        <v>0</v>
      </c>
      <c r="X248" s="3">
        <f t="shared" si="35"/>
        <v>0</v>
      </c>
    </row>
    <row r="249" spans="9:24" x14ac:dyDescent="0.2">
      <c r="I249" s="2"/>
      <c r="J249" s="4">
        <v>749</v>
      </c>
      <c r="K249" s="5">
        <v>2013</v>
      </c>
      <c r="L249" s="5">
        <v>9</v>
      </c>
      <c r="M249" s="5">
        <v>19</v>
      </c>
      <c r="N249" s="3" t="str">
        <f t="shared" si="31"/>
        <v>2013,9,19</v>
      </c>
      <c r="O249" t="s">
        <v>53</v>
      </c>
      <c r="P249">
        <f t="shared" si="39"/>
        <v>12.483333333333333</v>
      </c>
      <c r="Q249" s="6">
        <f t="shared" si="38"/>
        <v>52.916666666666671</v>
      </c>
      <c r="R249" s="7"/>
      <c r="S249" s="7"/>
      <c r="T249" s="7" t="str">
        <f t="shared" si="32"/>
        <v/>
      </c>
      <c r="U249" s="7"/>
      <c r="V249">
        <f t="shared" si="33"/>
        <v>0</v>
      </c>
      <c r="W249" s="3">
        <f t="shared" si="34"/>
        <v>0</v>
      </c>
      <c r="X249" s="3">
        <f t="shared" si="35"/>
        <v>0</v>
      </c>
    </row>
    <row r="250" spans="9:24" x14ac:dyDescent="0.2">
      <c r="I250" s="2" t="s">
        <v>66</v>
      </c>
      <c r="J250" s="4">
        <v>641</v>
      </c>
      <c r="K250" s="5">
        <v>2013</v>
      </c>
      <c r="L250" s="5">
        <v>9</v>
      </c>
      <c r="M250" s="5">
        <v>19</v>
      </c>
      <c r="N250" s="3" t="str">
        <f t="shared" si="31"/>
        <v>2013,9,19</v>
      </c>
      <c r="O250" t="s">
        <v>53</v>
      </c>
      <c r="P250">
        <f t="shared" si="39"/>
        <v>10.683333333333334</v>
      </c>
      <c r="Q250" s="6">
        <f t="shared" si="38"/>
        <v>63.600000000000009</v>
      </c>
      <c r="R250" s="7">
        <v>0.25972222222222224</v>
      </c>
      <c r="S250" s="7">
        <f t="shared" si="36"/>
        <v>0.25</v>
      </c>
      <c r="T250" s="7">
        <f t="shared" si="32"/>
        <v>0.30347222222222225</v>
      </c>
      <c r="U250" s="7">
        <f t="shared" si="37"/>
        <v>0.30208333333333331</v>
      </c>
      <c r="V250">
        <f t="shared" si="33"/>
        <v>6</v>
      </c>
      <c r="W250" s="3">
        <f t="shared" si="34"/>
        <v>0.23333333333333334</v>
      </c>
      <c r="X250" s="3">
        <f t="shared" si="35"/>
        <v>6.2333333333333334</v>
      </c>
    </row>
    <row r="251" spans="9:24" x14ac:dyDescent="0.2">
      <c r="I251" s="2"/>
      <c r="J251" s="4">
        <v>701</v>
      </c>
      <c r="K251" s="5">
        <v>2013</v>
      </c>
      <c r="L251" s="5">
        <v>9</v>
      </c>
      <c r="M251" s="5">
        <v>22</v>
      </c>
      <c r="N251" s="3" t="str">
        <f t="shared" si="31"/>
        <v>2013,9,22</v>
      </c>
      <c r="O251" t="s">
        <v>21</v>
      </c>
      <c r="P251">
        <f t="shared" si="39"/>
        <v>11.683333333333334</v>
      </c>
      <c r="Q251" s="6">
        <f t="shared" si="38"/>
        <v>11.683333333333334</v>
      </c>
      <c r="R251" s="7"/>
      <c r="S251" s="7"/>
      <c r="T251" s="7" t="str">
        <f t="shared" si="32"/>
        <v/>
      </c>
      <c r="U251" s="7"/>
      <c r="V251">
        <f t="shared" si="33"/>
        <v>0</v>
      </c>
      <c r="W251" s="3">
        <f t="shared" si="34"/>
        <v>0</v>
      </c>
      <c r="X251" s="3">
        <f t="shared" si="35"/>
        <v>0</v>
      </c>
    </row>
    <row r="252" spans="9:24" x14ac:dyDescent="0.2">
      <c r="I252" s="2"/>
      <c r="J252" s="4">
        <v>160</v>
      </c>
      <c r="K252" s="5">
        <v>2013</v>
      </c>
      <c r="L252" s="5">
        <v>9</v>
      </c>
      <c r="M252" s="5">
        <v>22</v>
      </c>
      <c r="N252" s="3" t="str">
        <f t="shared" si="31"/>
        <v>2013,9,22</v>
      </c>
      <c r="O252" t="s">
        <v>21</v>
      </c>
      <c r="P252">
        <f t="shared" si="39"/>
        <v>2.6666666666666665</v>
      </c>
      <c r="Q252" s="6">
        <f t="shared" si="38"/>
        <v>14.35</v>
      </c>
      <c r="R252" s="7"/>
      <c r="S252" s="7"/>
      <c r="T252" s="7" t="str">
        <f t="shared" si="32"/>
        <v/>
      </c>
      <c r="U252" s="7"/>
      <c r="V252">
        <f t="shared" si="33"/>
        <v>0</v>
      </c>
      <c r="W252" s="3">
        <f t="shared" si="34"/>
        <v>0</v>
      </c>
      <c r="X252" s="3">
        <f t="shared" si="35"/>
        <v>0</v>
      </c>
    </row>
    <row r="253" spans="9:24" x14ac:dyDescent="0.2">
      <c r="I253" s="2"/>
      <c r="J253" s="4">
        <v>563</v>
      </c>
      <c r="K253" s="5">
        <v>2013</v>
      </c>
      <c r="L253" s="5">
        <v>9</v>
      </c>
      <c r="M253" s="5">
        <v>22</v>
      </c>
      <c r="N253" s="3" t="str">
        <f t="shared" si="31"/>
        <v>2013,9,22</v>
      </c>
      <c r="O253" t="s">
        <v>21</v>
      </c>
      <c r="P253">
        <f t="shared" si="39"/>
        <v>9.3833333333333329</v>
      </c>
      <c r="Q253" s="6">
        <f t="shared" si="38"/>
        <v>23.733333333333334</v>
      </c>
      <c r="R253" s="7"/>
      <c r="S253" s="7"/>
      <c r="T253" s="7" t="str">
        <f t="shared" si="32"/>
        <v/>
      </c>
      <c r="U253" s="7"/>
      <c r="V253">
        <f t="shared" si="33"/>
        <v>0</v>
      </c>
      <c r="W253" s="3">
        <f t="shared" si="34"/>
        <v>0</v>
      </c>
      <c r="X253" s="3">
        <f t="shared" si="35"/>
        <v>0</v>
      </c>
    </row>
    <row r="254" spans="9:24" x14ac:dyDescent="0.2">
      <c r="I254" s="2"/>
      <c r="J254" s="4">
        <v>101</v>
      </c>
      <c r="K254" s="5">
        <v>2013</v>
      </c>
      <c r="L254" s="5">
        <v>9</v>
      </c>
      <c r="M254" s="5">
        <v>22</v>
      </c>
      <c r="N254" s="3" t="str">
        <f t="shared" si="31"/>
        <v>2013,9,22</v>
      </c>
      <c r="O254" t="s">
        <v>21</v>
      </c>
      <c r="P254">
        <f t="shared" si="39"/>
        <v>1.6833333333333333</v>
      </c>
      <c r="Q254" s="6">
        <f t="shared" si="38"/>
        <v>25.416666666666668</v>
      </c>
      <c r="R254" s="7"/>
      <c r="S254" s="7"/>
      <c r="T254" s="7" t="str">
        <f t="shared" si="32"/>
        <v/>
      </c>
      <c r="U254" s="7"/>
      <c r="V254">
        <f t="shared" si="33"/>
        <v>0</v>
      </c>
      <c r="W254" s="3">
        <f t="shared" si="34"/>
        <v>0</v>
      </c>
      <c r="X254" s="3">
        <f t="shared" si="35"/>
        <v>0</v>
      </c>
    </row>
    <row r="255" spans="9:24" x14ac:dyDescent="0.2">
      <c r="I255" s="2"/>
      <c r="J255" s="4">
        <v>464</v>
      </c>
      <c r="K255" s="5">
        <v>2013</v>
      </c>
      <c r="L255" s="5">
        <v>9</v>
      </c>
      <c r="M255" s="5">
        <v>22</v>
      </c>
      <c r="N255" s="3" t="str">
        <f t="shared" si="31"/>
        <v>2013,9,22</v>
      </c>
      <c r="O255" t="s">
        <v>21</v>
      </c>
      <c r="P255">
        <f t="shared" si="39"/>
        <v>7.7333333333333334</v>
      </c>
      <c r="Q255" s="6">
        <f t="shared" si="38"/>
        <v>33.15</v>
      </c>
      <c r="R255" s="7"/>
      <c r="S255" s="7"/>
      <c r="T255" s="7" t="str">
        <f t="shared" si="32"/>
        <v/>
      </c>
      <c r="U255" s="7"/>
      <c r="V255">
        <f t="shared" si="33"/>
        <v>0</v>
      </c>
      <c r="W255" s="3">
        <f t="shared" si="34"/>
        <v>0</v>
      </c>
      <c r="X255" s="3">
        <f t="shared" si="35"/>
        <v>0</v>
      </c>
    </row>
    <row r="256" spans="9:24" x14ac:dyDescent="0.2">
      <c r="I256" s="2" t="s">
        <v>67</v>
      </c>
      <c r="J256" s="4">
        <v>149</v>
      </c>
      <c r="K256" s="5">
        <v>2013</v>
      </c>
      <c r="L256" s="5">
        <v>9</v>
      </c>
      <c r="M256" s="5">
        <v>22</v>
      </c>
      <c r="N256" s="3" t="str">
        <f t="shared" si="31"/>
        <v>2013,9,22</v>
      </c>
      <c r="O256" t="s">
        <v>21</v>
      </c>
      <c r="P256">
        <f t="shared" si="39"/>
        <v>2.4833333333333334</v>
      </c>
      <c r="Q256" s="6">
        <f t="shared" si="38"/>
        <v>35.633333333333333</v>
      </c>
      <c r="R256" s="7">
        <v>0.68055555555555547</v>
      </c>
      <c r="S256" s="7">
        <f t="shared" si="36"/>
        <v>0.67708333333333326</v>
      </c>
      <c r="T256" s="7">
        <f t="shared" si="32"/>
        <v>0.70486111111111105</v>
      </c>
      <c r="U256" s="7">
        <f t="shared" si="37"/>
        <v>0.69791666666666663</v>
      </c>
      <c r="V256">
        <f t="shared" si="33"/>
        <v>16</v>
      </c>
      <c r="W256" s="3">
        <f t="shared" si="34"/>
        <v>0.33333333333333331</v>
      </c>
      <c r="X256" s="3">
        <f t="shared" si="35"/>
        <v>16.333333333333332</v>
      </c>
    </row>
    <row r="257" spans="9:24" x14ac:dyDescent="0.2">
      <c r="I257" s="2"/>
      <c r="J257" s="4">
        <v>432</v>
      </c>
      <c r="K257" s="5">
        <v>2013</v>
      </c>
      <c r="L257" s="5">
        <v>9</v>
      </c>
      <c r="M257" s="5">
        <v>25</v>
      </c>
      <c r="N257" s="3" t="str">
        <f t="shared" si="31"/>
        <v>2013,9,25</v>
      </c>
      <c r="O257" t="s">
        <v>19</v>
      </c>
      <c r="P257">
        <f t="shared" si="39"/>
        <v>7.2</v>
      </c>
      <c r="Q257" s="6">
        <f t="shared" si="38"/>
        <v>7.2</v>
      </c>
      <c r="R257" s="7"/>
      <c r="S257" s="7"/>
      <c r="T257" s="7" t="str">
        <f t="shared" si="32"/>
        <v/>
      </c>
      <c r="U257" s="7"/>
      <c r="V257">
        <f t="shared" si="33"/>
        <v>0</v>
      </c>
      <c r="W257" s="3">
        <f t="shared" si="34"/>
        <v>0</v>
      </c>
      <c r="X257" s="3">
        <f t="shared" si="35"/>
        <v>0</v>
      </c>
    </row>
    <row r="258" spans="9:24" x14ac:dyDescent="0.2">
      <c r="I258" s="2"/>
      <c r="J258" s="4">
        <v>1095</v>
      </c>
      <c r="K258" s="5">
        <v>2013</v>
      </c>
      <c r="L258" s="5">
        <v>9</v>
      </c>
      <c r="M258" s="5">
        <v>25</v>
      </c>
      <c r="N258" s="3" t="str">
        <f t="shared" si="31"/>
        <v>2013,9,25</v>
      </c>
      <c r="O258" t="s">
        <v>19</v>
      </c>
      <c r="P258">
        <f t="shared" si="39"/>
        <v>18.25</v>
      </c>
      <c r="Q258" s="6">
        <f t="shared" si="38"/>
        <v>25.45</v>
      </c>
      <c r="R258" s="7"/>
      <c r="S258" s="7"/>
      <c r="T258" s="7" t="str">
        <f t="shared" si="32"/>
        <v/>
      </c>
      <c r="U258" s="7"/>
      <c r="V258">
        <f t="shared" si="33"/>
        <v>0</v>
      </c>
      <c r="W258" s="3">
        <f t="shared" si="34"/>
        <v>0</v>
      </c>
      <c r="X258" s="3">
        <f t="shared" si="35"/>
        <v>0</v>
      </c>
    </row>
    <row r="259" spans="9:24" x14ac:dyDescent="0.2">
      <c r="I259" s="2"/>
      <c r="J259" s="4">
        <v>318</v>
      </c>
      <c r="K259" s="5">
        <v>2013</v>
      </c>
      <c r="L259" s="5">
        <v>9</v>
      </c>
      <c r="M259" s="5">
        <v>25</v>
      </c>
      <c r="N259" s="3" t="str">
        <f t="shared" ref="N259:N322" si="40">K259&amp;","&amp;L259&amp;","&amp;M259</f>
        <v>2013,9,25</v>
      </c>
      <c r="O259" t="s">
        <v>19</v>
      </c>
      <c r="P259">
        <f t="shared" si="39"/>
        <v>5.3</v>
      </c>
      <c r="Q259" s="6">
        <f t="shared" si="38"/>
        <v>30.75</v>
      </c>
      <c r="R259" s="7"/>
      <c r="S259" s="7"/>
      <c r="T259" s="7" t="str">
        <f t="shared" ref="T259:T322" si="41">IF(ISBLANK(R259),"",R259+TIME(0,Q259,0))</f>
        <v/>
      </c>
      <c r="U259" s="7"/>
      <c r="V259">
        <f t="shared" si="33"/>
        <v>0</v>
      </c>
      <c r="W259" s="3">
        <f t="shared" si="34"/>
        <v>0</v>
      </c>
      <c r="X259" s="3">
        <f t="shared" si="35"/>
        <v>0</v>
      </c>
    </row>
    <row r="260" spans="9:24" x14ac:dyDescent="0.2">
      <c r="I260" s="2" t="s">
        <v>68</v>
      </c>
      <c r="J260" s="4">
        <v>870</v>
      </c>
      <c r="K260" s="5">
        <v>2013</v>
      </c>
      <c r="L260" s="5">
        <v>9</v>
      </c>
      <c r="M260" s="5">
        <v>25</v>
      </c>
      <c r="N260" s="3" t="str">
        <f t="shared" si="40"/>
        <v>2013,9,25</v>
      </c>
      <c r="O260" t="s">
        <v>19</v>
      </c>
      <c r="P260">
        <f t="shared" si="39"/>
        <v>14.5</v>
      </c>
      <c r="Q260" s="6">
        <f t="shared" si="38"/>
        <v>45.25</v>
      </c>
      <c r="R260" s="7">
        <v>0.30208333333333331</v>
      </c>
      <c r="S260" s="7">
        <f t="shared" ref="S260:S323" si="42">FLOOR(R260,"0:15")</f>
        <v>0.30208333333333331</v>
      </c>
      <c r="T260" s="7">
        <f t="shared" si="41"/>
        <v>0.33333333333333331</v>
      </c>
      <c r="U260" s="7">
        <f t="shared" ref="U260:U323" si="43">FLOOR(T260,"0:15")</f>
        <v>0.33333333333333331</v>
      </c>
      <c r="V260">
        <f t="shared" ref="V260:V323" si="44">HOUR(R260)</f>
        <v>7</v>
      </c>
      <c r="W260" s="3">
        <f t="shared" ref="W260:W323" si="45">MINUTE(R260)/60</f>
        <v>0.25</v>
      </c>
      <c r="X260" s="3">
        <f t="shared" ref="X260:X323" si="46">V260+W260</f>
        <v>7.25</v>
      </c>
    </row>
    <row r="261" spans="9:24" x14ac:dyDescent="0.2">
      <c r="I261" s="2"/>
      <c r="J261" s="4">
        <v>732</v>
      </c>
      <c r="K261" s="5">
        <v>2013</v>
      </c>
      <c r="L261" s="5">
        <v>9</v>
      </c>
      <c r="M261" s="5">
        <v>28</v>
      </c>
      <c r="N261" s="3" t="str">
        <f t="shared" si="40"/>
        <v>2013,9,28</v>
      </c>
      <c r="O261" t="s">
        <v>26</v>
      </c>
      <c r="P261">
        <f t="shared" si="39"/>
        <v>12.2</v>
      </c>
      <c r="Q261" s="6">
        <f t="shared" si="38"/>
        <v>12.2</v>
      </c>
      <c r="R261" s="7"/>
      <c r="S261" s="7"/>
      <c r="T261" s="7" t="str">
        <f t="shared" si="41"/>
        <v/>
      </c>
      <c r="U261" s="7"/>
      <c r="V261">
        <f t="shared" si="44"/>
        <v>0</v>
      </c>
      <c r="W261" s="3">
        <f t="shared" si="45"/>
        <v>0</v>
      </c>
      <c r="X261" s="3">
        <f t="shared" si="46"/>
        <v>0</v>
      </c>
    </row>
    <row r="262" spans="9:24" x14ac:dyDescent="0.2">
      <c r="I262" s="2"/>
      <c r="J262" s="4">
        <v>354</v>
      </c>
      <c r="K262" s="5">
        <v>2013</v>
      </c>
      <c r="L262" s="5">
        <v>9</v>
      </c>
      <c r="M262" s="5">
        <v>28</v>
      </c>
      <c r="N262" s="3" t="str">
        <f t="shared" si="40"/>
        <v>2013,9,28</v>
      </c>
      <c r="O262" t="s">
        <v>26</v>
      </c>
      <c r="P262">
        <f t="shared" si="39"/>
        <v>5.9</v>
      </c>
      <c r="Q262" s="6">
        <f t="shared" si="38"/>
        <v>18.100000000000001</v>
      </c>
      <c r="R262" s="7"/>
      <c r="S262" s="7"/>
      <c r="T262" s="7" t="str">
        <f t="shared" si="41"/>
        <v/>
      </c>
      <c r="U262" s="7"/>
      <c r="V262">
        <f t="shared" si="44"/>
        <v>0</v>
      </c>
      <c r="W262" s="3">
        <f t="shared" si="45"/>
        <v>0</v>
      </c>
      <c r="X262" s="3">
        <f t="shared" si="46"/>
        <v>0</v>
      </c>
    </row>
    <row r="263" spans="9:24" x14ac:dyDescent="0.2">
      <c r="I263" s="2"/>
      <c r="J263" s="4">
        <v>278</v>
      </c>
      <c r="K263" s="5">
        <v>2013</v>
      </c>
      <c r="L263" s="5">
        <v>9</v>
      </c>
      <c r="M263" s="5">
        <v>28</v>
      </c>
      <c r="N263" s="3" t="str">
        <f t="shared" si="40"/>
        <v>2013,9,28</v>
      </c>
      <c r="O263" t="s">
        <v>26</v>
      </c>
      <c r="P263">
        <f t="shared" si="39"/>
        <v>4.6333333333333337</v>
      </c>
      <c r="Q263" s="6">
        <f t="shared" si="38"/>
        <v>22.733333333333334</v>
      </c>
      <c r="R263" s="7"/>
      <c r="S263" s="7"/>
      <c r="T263" s="7" t="str">
        <f t="shared" si="41"/>
        <v/>
      </c>
      <c r="U263" s="7"/>
      <c r="V263">
        <f t="shared" si="44"/>
        <v>0</v>
      </c>
      <c r="W263" s="3">
        <f t="shared" si="45"/>
        <v>0</v>
      </c>
      <c r="X263" s="3">
        <f t="shared" si="46"/>
        <v>0</v>
      </c>
    </row>
    <row r="264" spans="9:24" x14ac:dyDescent="0.2">
      <c r="I264" s="2"/>
      <c r="J264" s="4">
        <v>103</v>
      </c>
      <c r="K264" s="5">
        <v>2013</v>
      </c>
      <c r="L264" s="5">
        <v>9</v>
      </c>
      <c r="M264" s="5">
        <v>28</v>
      </c>
      <c r="N264" s="3" t="str">
        <f t="shared" si="40"/>
        <v>2013,9,28</v>
      </c>
      <c r="O264" t="s">
        <v>26</v>
      </c>
      <c r="P264">
        <f t="shared" si="39"/>
        <v>1.7166666666666666</v>
      </c>
      <c r="Q264" s="6">
        <f t="shared" si="38"/>
        <v>24.45</v>
      </c>
      <c r="R264" s="7"/>
      <c r="S264" s="7"/>
      <c r="T264" s="7" t="str">
        <f t="shared" si="41"/>
        <v/>
      </c>
      <c r="U264" s="7"/>
      <c r="V264">
        <f t="shared" si="44"/>
        <v>0</v>
      </c>
      <c r="W264" s="3">
        <f t="shared" si="45"/>
        <v>0</v>
      </c>
      <c r="X264" s="3">
        <f t="shared" si="46"/>
        <v>0</v>
      </c>
    </row>
    <row r="265" spans="9:24" x14ac:dyDescent="0.2">
      <c r="I265" s="2"/>
      <c r="J265" s="4">
        <v>805</v>
      </c>
      <c r="K265" s="5">
        <v>2013</v>
      </c>
      <c r="L265" s="5">
        <v>9</v>
      </c>
      <c r="M265" s="5">
        <v>28</v>
      </c>
      <c r="N265" s="3" t="str">
        <f t="shared" si="40"/>
        <v>2013,9,28</v>
      </c>
      <c r="O265" t="s">
        <v>26</v>
      </c>
      <c r="P265">
        <f t="shared" si="39"/>
        <v>13.416666666666666</v>
      </c>
      <c r="Q265" s="6">
        <f t="shared" si="38"/>
        <v>37.866666666666667</v>
      </c>
      <c r="R265" s="7"/>
      <c r="S265" s="7"/>
      <c r="T265" s="7" t="str">
        <f t="shared" si="41"/>
        <v/>
      </c>
      <c r="U265" s="7"/>
      <c r="V265">
        <f t="shared" si="44"/>
        <v>0</v>
      </c>
      <c r="W265" s="3">
        <f t="shared" si="45"/>
        <v>0</v>
      </c>
      <c r="X265" s="3">
        <f t="shared" si="46"/>
        <v>0</v>
      </c>
    </row>
    <row r="266" spans="9:24" x14ac:dyDescent="0.2">
      <c r="I266" s="2" t="s">
        <v>69</v>
      </c>
      <c r="J266" s="4">
        <v>276</v>
      </c>
      <c r="K266" s="5">
        <v>2013</v>
      </c>
      <c r="L266" s="5">
        <v>9</v>
      </c>
      <c r="M266" s="5">
        <v>28</v>
      </c>
      <c r="N266" s="3" t="str">
        <f t="shared" si="40"/>
        <v>2013,9,28</v>
      </c>
      <c r="O266" t="s">
        <v>26</v>
      </c>
      <c r="P266">
        <f t="shared" si="39"/>
        <v>4.5999999999999996</v>
      </c>
      <c r="Q266" s="6">
        <f t="shared" si="38"/>
        <v>42.466666666666669</v>
      </c>
      <c r="R266" s="7">
        <v>0.35555555555555557</v>
      </c>
      <c r="S266" s="7">
        <f t="shared" si="42"/>
        <v>0.35416666666666663</v>
      </c>
      <c r="T266" s="7">
        <f t="shared" si="41"/>
        <v>0.38472222222222224</v>
      </c>
      <c r="U266" s="7">
        <f t="shared" si="43"/>
        <v>0.375</v>
      </c>
      <c r="V266">
        <f t="shared" si="44"/>
        <v>8</v>
      </c>
      <c r="W266" s="3">
        <f t="shared" si="45"/>
        <v>0.53333333333333333</v>
      </c>
      <c r="X266" s="3">
        <f t="shared" si="46"/>
        <v>8.5333333333333332</v>
      </c>
    </row>
    <row r="267" spans="9:24" x14ac:dyDescent="0.2">
      <c r="I267" s="2"/>
      <c r="J267" s="4">
        <v>885</v>
      </c>
      <c r="K267" s="5">
        <v>2013</v>
      </c>
      <c r="L267" s="5">
        <v>10</v>
      </c>
      <c r="M267" s="5">
        <v>3</v>
      </c>
      <c r="N267" s="3" t="str">
        <f t="shared" si="40"/>
        <v>2013,10,3</v>
      </c>
      <c r="O267" t="s">
        <v>53</v>
      </c>
      <c r="P267">
        <f t="shared" si="39"/>
        <v>14.75</v>
      </c>
      <c r="Q267" s="6">
        <f t="shared" si="38"/>
        <v>14.75</v>
      </c>
      <c r="R267" s="7"/>
      <c r="S267" s="7"/>
      <c r="T267" s="7" t="str">
        <f t="shared" si="41"/>
        <v/>
      </c>
      <c r="U267" s="7"/>
      <c r="V267">
        <f t="shared" si="44"/>
        <v>0</v>
      </c>
      <c r="W267" s="3">
        <f t="shared" si="45"/>
        <v>0</v>
      </c>
      <c r="X267" s="3">
        <f t="shared" si="46"/>
        <v>0</v>
      </c>
    </row>
    <row r="268" spans="9:24" x14ac:dyDescent="0.2">
      <c r="I268" s="2"/>
      <c r="J268" s="4">
        <v>293</v>
      </c>
      <c r="K268" s="5">
        <v>2013</v>
      </c>
      <c r="L268" s="5">
        <v>10</v>
      </c>
      <c r="M268" s="5">
        <v>3</v>
      </c>
      <c r="N268" s="3" t="str">
        <f t="shared" si="40"/>
        <v>2013,10,3</v>
      </c>
      <c r="O268" t="s">
        <v>53</v>
      </c>
      <c r="P268">
        <f t="shared" si="39"/>
        <v>4.8833333333333337</v>
      </c>
      <c r="Q268" s="6">
        <f t="shared" si="38"/>
        <v>19.633333333333333</v>
      </c>
      <c r="R268" s="7"/>
      <c r="S268" s="7"/>
      <c r="T268" s="7" t="str">
        <f t="shared" si="41"/>
        <v/>
      </c>
      <c r="U268" s="7"/>
      <c r="V268">
        <f t="shared" si="44"/>
        <v>0</v>
      </c>
      <c r="W268" s="3">
        <f t="shared" si="45"/>
        <v>0</v>
      </c>
      <c r="X268" s="3">
        <f t="shared" si="46"/>
        <v>0</v>
      </c>
    </row>
    <row r="269" spans="9:24" x14ac:dyDescent="0.2">
      <c r="I269" s="2"/>
      <c r="J269" s="4">
        <v>695</v>
      </c>
      <c r="K269" s="5">
        <v>2013</v>
      </c>
      <c r="L269" s="5">
        <v>10</v>
      </c>
      <c r="M269" s="5">
        <v>3</v>
      </c>
      <c r="N269" s="3" t="str">
        <f t="shared" si="40"/>
        <v>2013,10,3</v>
      </c>
      <c r="O269" t="s">
        <v>53</v>
      </c>
      <c r="P269">
        <f t="shared" si="39"/>
        <v>11.583333333333334</v>
      </c>
      <c r="Q269" s="6">
        <f t="shared" si="38"/>
        <v>31.216666666666669</v>
      </c>
      <c r="R269" s="7"/>
      <c r="S269" s="7"/>
      <c r="T269" s="7" t="str">
        <f t="shared" si="41"/>
        <v/>
      </c>
      <c r="U269" s="7"/>
      <c r="V269">
        <f t="shared" si="44"/>
        <v>0</v>
      </c>
      <c r="W269" s="3">
        <f t="shared" si="45"/>
        <v>0</v>
      </c>
      <c r="X269" s="3">
        <f t="shared" si="46"/>
        <v>0</v>
      </c>
    </row>
    <row r="270" spans="9:24" x14ac:dyDescent="0.2">
      <c r="I270" s="2"/>
      <c r="J270" s="4">
        <v>185</v>
      </c>
      <c r="K270" s="5">
        <v>2013</v>
      </c>
      <c r="L270" s="5">
        <v>10</v>
      </c>
      <c r="M270" s="5">
        <v>3</v>
      </c>
      <c r="N270" s="3" t="str">
        <f t="shared" si="40"/>
        <v>2013,10,3</v>
      </c>
      <c r="O270" t="s">
        <v>53</v>
      </c>
      <c r="P270">
        <f t="shared" si="39"/>
        <v>3.0833333333333335</v>
      </c>
      <c r="Q270" s="6">
        <f t="shared" si="38"/>
        <v>34.300000000000004</v>
      </c>
      <c r="R270" s="7"/>
      <c r="S270" s="7"/>
      <c r="T270" s="7" t="str">
        <f t="shared" si="41"/>
        <v/>
      </c>
      <c r="U270" s="7"/>
      <c r="V270">
        <f t="shared" si="44"/>
        <v>0</v>
      </c>
      <c r="W270" s="3">
        <f t="shared" si="45"/>
        <v>0</v>
      </c>
      <c r="X270" s="3">
        <f t="shared" si="46"/>
        <v>0</v>
      </c>
    </row>
    <row r="271" spans="9:24" x14ac:dyDescent="0.2">
      <c r="I271" s="2"/>
      <c r="J271" s="4">
        <v>569</v>
      </c>
      <c r="K271" s="5">
        <v>2013</v>
      </c>
      <c r="L271" s="5">
        <v>10</v>
      </c>
      <c r="M271" s="5">
        <v>3</v>
      </c>
      <c r="N271" s="3" t="str">
        <f t="shared" si="40"/>
        <v>2013,10,3</v>
      </c>
      <c r="O271" t="s">
        <v>53</v>
      </c>
      <c r="P271">
        <f t="shared" si="39"/>
        <v>9.4833333333333325</v>
      </c>
      <c r="Q271" s="6">
        <f t="shared" si="38"/>
        <v>43.783333333333339</v>
      </c>
      <c r="R271" s="7"/>
      <c r="S271" s="7"/>
      <c r="T271" s="7" t="str">
        <f t="shared" si="41"/>
        <v/>
      </c>
      <c r="U271" s="7"/>
      <c r="V271">
        <f t="shared" si="44"/>
        <v>0</v>
      </c>
      <c r="W271" s="3">
        <f t="shared" si="45"/>
        <v>0</v>
      </c>
      <c r="X271" s="3">
        <f t="shared" si="46"/>
        <v>0</v>
      </c>
    </row>
    <row r="272" spans="9:24" x14ac:dyDescent="0.2">
      <c r="I272" s="2" t="s">
        <v>70</v>
      </c>
      <c r="J272" s="4">
        <v>143</v>
      </c>
      <c r="K272" s="5">
        <v>2013</v>
      </c>
      <c r="L272" s="5">
        <v>10</v>
      </c>
      <c r="M272" s="5">
        <v>3</v>
      </c>
      <c r="N272" s="3" t="str">
        <f t="shared" si="40"/>
        <v>2013,10,3</v>
      </c>
      <c r="O272" t="s">
        <v>53</v>
      </c>
      <c r="P272">
        <f t="shared" si="39"/>
        <v>2.3833333333333333</v>
      </c>
      <c r="Q272" s="6">
        <f t="shared" si="38"/>
        <v>46.166666666666671</v>
      </c>
      <c r="R272" s="7">
        <v>0.27569444444444446</v>
      </c>
      <c r="S272" s="7">
        <f t="shared" si="42"/>
        <v>0.27083333333333331</v>
      </c>
      <c r="T272" s="7">
        <f t="shared" si="41"/>
        <v>0.30763888888888891</v>
      </c>
      <c r="U272" s="7">
        <f t="shared" si="43"/>
        <v>0.30208333333333331</v>
      </c>
      <c r="V272">
        <f t="shared" si="44"/>
        <v>6</v>
      </c>
      <c r="W272" s="3">
        <f t="shared" si="45"/>
        <v>0.6166666666666667</v>
      </c>
      <c r="X272" s="3">
        <f t="shared" si="46"/>
        <v>6.6166666666666671</v>
      </c>
    </row>
    <row r="273" spans="9:24" x14ac:dyDescent="0.2">
      <c r="I273" s="2"/>
      <c r="J273" s="4">
        <v>1000</v>
      </c>
      <c r="K273" s="5">
        <v>2013</v>
      </c>
      <c r="L273" s="5">
        <v>10</v>
      </c>
      <c r="M273" s="5">
        <v>9</v>
      </c>
      <c r="N273" s="3" t="str">
        <f t="shared" si="40"/>
        <v>2013,10,9</v>
      </c>
      <c r="O273" t="s">
        <v>19</v>
      </c>
      <c r="P273">
        <f t="shared" si="39"/>
        <v>16.666666666666668</v>
      </c>
      <c r="Q273" s="6">
        <f t="shared" si="38"/>
        <v>16.666666666666668</v>
      </c>
      <c r="R273" s="7"/>
      <c r="S273" s="7"/>
      <c r="T273" s="7" t="str">
        <f t="shared" si="41"/>
        <v/>
      </c>
      <c r="U273" s="7"/>
      <c r="V273">
        <f t="shared" si="44"/>
        <v>0</v>
      </c>
      <c r="W273" s="3">
        <f t="shared" si="45"/>
        <v>0</v>
      </c>
      <c r="X273" s="3">
        <f t="shared" si="46"/>
        <v>0</v>
      </c>
    </row>
    <row r="274" spans="9:24" x14ac:dyDescent="0.2">
      <c r="I274" s="2"/>
      <c r="J274" s="4">
        <v>589</v>
      </c>
      <c r="K274" s="5">
        <v>2013</v>
      </c>
      <c r="L274" s="5">
        <v>10</v>
      </c>
      <c r="M274" s="5">
        <v>9</v>
      </c>
      <c r="N274" s="3" t="str">
        <f t="shared" si="40"/>
        <v>2013,10,9</v>
      </c>
      <c r="O274" t="s">
        <v>19</v>
      </c>
      <c r="P274">
        <f t="shared" si="39"/>
        <v>9.8166666666666664</v>
      </c>
      <c r="Q274" s="6">
        <f t="shared" si="38"/>
        <v>26.483333333333334</v>
      </c>
      <c r="R274" s="7"/>
      <c r="S274" s="7"/>
      <c r="T274" s="7" t="str">
        <f t="shared" si="41"/>
        <v/>
      </c>
      <c r="U274" s="7"/>
      <c r="V274">
        <f t="shared" si="44"/>
        <v>0</v>
      </c>
      <c r="W274" s="3">
        <f t="shared" si="45"/>
        <v>0</v>
      </c>
      <c r="X274" s="3">
        <f t="shared" si="46"/>
        <v>0</v>
      </c>
    </row>
    <row r="275" spans="9:24" x14ac:dyDescent="0.2">
      <c r="I275" s="2"/>
      <c r="J275" s="4">
        <v>197</v>
      </c>
      <c r="K275" s="5">
        <v>2013</v>
      </c>
      <c r="L275" s="5">
        <v>10</v>
      </c>
      <c r="M275" s="5">
        <v>9</v>
      </c>
      <c r="N275" s="3" t="str">
        <f t="shared" si="40"/>
        <v>2013,10,9</v>
      </c>
      <c r="O275" t="s">
        <v>19</v>
      </c>
      <c r="P275">
        <f t="shared" si="39"/>
        <v>3.2833333333333332</v>
      </c>
      <c r="Q275" s="6">
        <f t="shared" si="38"/>
        <v>29.766666666666666</v>
      </c>
      <c r="R275" s="7"/>
      <c r="S275" s="7"/>
      <c r="T275" s="7" t="str">
        <f t="shared" si="41"/>
        <v/>
      </c>
      <c r="U275" s="7"/>
      <c r="V275">
        <f t="shared" si="44"/>
        <v>0</v>
      </c>
      <c r="W275" s="3">
        <f t="shared" si="45"/>
        <v>0</v>
      </c>
      <c r="X275" s="3">
        <f t="shared" si="46"/>
        <v>0</v>
      </c>
    </row>
    <row r="276" spans="9:24" x14ac:dyDescent="0.2">
      <c r="I276" s="2"/>
      <c r="J276" s="4">
        <v>104</v>
      </c>
      <c r="K276" s="5">
        <v>2013</v>
      </c>
      <c r="L276" s="5">
        <v>10</v>
      </c>
      <c r="M276" s="5">
        <v>9</v>
      </c>
      <c r="N276" s="3" t="str">
        <f t="shared" si="40"/>
        <v>2013,10,9</v>
      </c>
      <c r="O276" t="s">
        <v>19</v>
      </c>
      <c r="P276">
        <f t="shared" si="39"/>
        <v>1.7333333333333334</v>
      </c>
      <c r="Q276" s="6">
        <f t="shared" si="38"/>
        <v>31.5</v>
      </c>
      <c r="R276" s="7"/>
      <c r="S276" s="7"/>
      <c r="T276" s="7" t="str">
        <f t="shared" si="41"/>
        <v/>
      </c>
      <c r="U276" s="7"/>
      <c r="V276">
        <f t="shared" si="44"/>
        <v>0</v>
      </c>
      <c r="W276" s="3">
        <f t="shared" si="45"/>
        <v>0</v>
      </c>
      <c r="X276" s="3">
        <f t="shared" si="46"/>
        <v>0</v>
      </c>
    </row>
    <row r="277" spans="9:24" x14ac:dyDescent="0.2">
      <c r="I277" s="2"/>
      <c r="J277" s="4">
        <v>778</v>
      </c>
      <c r="K277" s="5">
        <v>2013</v>
      </c>
      <c r="L277" s="5">
        <v>10</v>
      </c>
      <c r="M277" s="5">
        <v>9</v>
      </c>
      <c r="N277" s="3" t="str">
        <f t="shared" si="40"/>
        <v>2013,10,9</v>
      </c>
      <c r="O277" t="s">
        <v>19</v>
      </c>
      <c r="P277">
        <f t="shared" si="39"/>
        <v>12.966666666666667</v>
      </c>
      <c r="Q277" s="6">
        <f t="shared" si="38"/>
        <v>44.466666666666669</v>
      </c>
      <c r="R277" s="7"/>
      <c r="S277" s="7"/>
      <c r="T277" s="7" t="str">
        <f t="shared" si="41"/>
        <v/>
      </c>
      <c r="U277" s="7"/>
      <c r="V277">
        <f t="shared" si="44"/>
        <v>0</v>
      </c>
      <c r="W277" s="3">
        <f t="shared" si="45"/>
        <v>0</v>
      </c>
      <c r="X277" s="3">
        <f t="shared" si="46"/>
        <v>0</v>
      </c>
    </row>
    <row r="278" spans="9:24" x14ac:dyDescent="0.2">
      <c r="I278" s="2" t="s">
        <v>71</v>
      </c>
      <c r="J278" s="4">
        <v>905</v>
      </c>
      <c r="K278" s="5">
        <v>2013</v>
      </c>
      <c r="L278" s="5">
        <v>10</v>
      </c>
      <c r="M278" s="5">
        <v>9</v>
      </c>
      <c r="N278" s="3" t="str">
        <f t="shared" si="40"/>
        <v>2013,10,9</v>
      </c>
      <c r="O278" t="s">
        <v>19</v>
      </c>
      <c r="P278">
        <f t="shared" si="39"/>
        <v>15.083333333333334</v>
      </c>
      <c r="Q278" s="6">
        <f t="shared" si="38"/>
        <v>59.550000000000004</v>
      </c>
      <c r="R278" s="7">
        <v>0.42638888888888887</v>
      </c>
      <c r="S278" s="7">
        <f t="shared" si="42"/>
        <v>0.41666666666666663</v>
      </c>
      <c r="T278" s="7">
        <f t="shared" si="41"/>
        <v>0.46736111111111112</v>
      </c>
      <c r="U278" s="7">
        <f t="shared" si="43"/>
        <v>0.45833333333333331</v>
      </c>
      <c r="V278">
        <f t="shared" si="44"/>
        <v>10</v>
      </c>
      <c r="W278" s="3">
        <f t="shared" si="45"/>
        <v>0.23333333333333334</v>
      </c>
      <c r="X278" s="3">
        <f t="shared" si="46"/>
        <v>10.233333333333333</v>
      </c>
    </row>
    <row r="279" spans="9:24" x14ac:dyDescent="0.2">
      <c r="I279" s="2"/>
      <c r="J279" s="4">
        <v>163</v>
      </c>
      <c r="K279" s="5">
        <v>2013</v>
      </c>
      <c r="L279" s="5">
        <v>10</v>
      </c>
      <c r="M279" s="5">
        <v>12</v>
      </c>
      <c r="N279" s="3" t="str">
        <f t="shared" si="40"/>
        <v>2013,10,12</v>
      </c>
      <c r="O279" t="s">
        <v>26</v>
      </c>
      <c r="P279">
        <f t="shared" si="39"/>
        <v>2.7166666666666668</v>
      </c>
      <c r="Q279" s="6">
        <f t="shared" si="38"/>
        <v>2.7166666666666668</v>
      </c>
      <c r="R279" s="7"/>
      <c r="S279" s="7"/>
      <c r="T279" s="7" t="str">
        <f t="shared" si="41"/>
        <v/>
      </c>
      <c r="U279" s="7"/>
      <c r="V279">
        <f t="shared" si="44"/>
        <v>0</v>
      </c>
      <c r="W279" s="3">
        <f t="shared" si="45"/>
        <v>0</v>
      </c>
      <c r="X279" s="3">
        <f t="shared" si="46"/>
        <v>0</v>
      </c>
    </row>
    <row r="280" spans="9:24" x14ac:dyDescent="0.2">
      <c r="I280" s="2"/>
      <c r="J280" s="4">
        <v>210</v>
      </c>
      <c r="K280" s="5">
        <v>2013</v>
      </c>
      <c r="L280" s="5">
        <v>10</v>
      </c>
      <c r="M280" s="5">
        <v>12</v>
      </c>
      <c r="N280" s="3" t="str">
        <f t="shared" si="40"/>
        <v>2013,10,12</v>
      </c>
      <c r="O280" t="s">
        <v>26</v>
      </c>
      <c r="P280">
        <f t="shared" si="39"/>
        <v>3.5</v>
      </c>
      <c r="Q280" s="6">
        <f t="shared" si="38"/>
        <v>6.2166666666666668</v>
      </c>
      <c r="R280" s="7"/>
      <c r="S280" s="7"/>
      <c r="T280" s="7" t="str">
        <f t="shared" si="41"/>
        <v/>
      </c>
      <c r="U280" s="7"/>
      <c r="V280">
        <f t="shared" si="44"/>
        <v>0</v>
      </c>
      <c r="W280" s="3">
        <f t="shared" si="45"/>
        <v>0</v>
      </c>
      <c r="X280" s="3">
        <f t="shared" si="46"/>
        <v>0</v>
      </c>
    </row>
    <row r="281" spans="9:24" x14ac:dyDescent="0.2">
      <c r="I281" s="2"/>
      <c r="J281" s="4">
        <v>425</v>
      </c>
      <c r="K281" s="5">
        <v>2013</v>
      </c>
      <c r="L281" s="5">
        <v>10</v>
      </c>
      <c r="M281" s="5">
        <v>12</v>
      </c>
      <c r="N281" s="3" t="str">
        <f t="shared" si="40"/>
        <v>2013,10,12</v>
      </c>
      <c r="O281" t="s">
        <v>26</v>
      </c>
      <c r="P281">
        <f t="shared" si="39"/>
        <v>7.083333333333333</v>
      </c>
      <c r="Q281" s="6">
        <f t="shared" si="38"/>
        <v>13.3</v>
      </c>
      <c r="R281" s="7"/>
      <c r="S281" s="7"/>
      <c r="T281" s="7" t="str">
        <f t="shared" si="41"/>
        <v/>
      </c>
      <c r="U281" s="7"/>
      <c r="V281">
        <f t="shared" si="44"/>
        <v>0</v>
      </c>
      <c r="W281" s="3">
        <f t="shared" si="45"/>
        <v>0</v>
      </c>
      <c r="X281" s="3">
        <f t="shared" si="46"/>
        <v>0</v>
      </c>
    </row>
    <row r="282" spans="9:24" x14ac:dyDescent="0.2">
      <c r="I282" s="2"/>
      <c r="J282" s="4">
        <v>438</v>
      </c>
      <c r="K282" s="5">
        <v>2013</v>
      </c>
      <c r="L282" s="5">
        <v>10</v>
      </c>
      <c r="M282" s="5">
        <v>12</v>
      </c>
      <c r="N282" s="3" t="str">
        <f t="shared" si="40"/>
        <v>2013,10,12</v>
      </c>
      <c r="O282" t="s">
        <v>26</v>
      </c>
      <c r="P282">
        <f t="shared" si="39"/>
        <v>7.3</v>
      </c>
      <c r="Q282" s="6">
        <f t="shared" si="38"/>
        <v>20.6</v>
      </c>
      <c r="R282" s="7"/>
      <c r="S282" s="7"/>
      <c r="T282" s="7" t="str">
        <f t="shared" si="41"/>
        <v/>
      </c>
      <c r="U282" s="7"/>
      <c r="V282">
        <f t="shared" si="44"/>
        <v>0</v>
      </c>
      <c r="W282" s="3">
        <f t="shared" si="45"/>
        <v>0</v>
      </c>
      <c r="X282" s="3">
        <f t="shared" si="46"/>
        <v>0</v>
      </c>
    </row>
    <row r="283" spans="9:24" x14ac:dyDescent="0.2">
      <c r="I283" s="2"/>
      <c r="J283" s="4">
        <v>573</v>
      </c>
      <c r="K283" s="5">
        <v>2013</v>
      </c>
      <c r="L283" s="5">
        <v>10</v>
      </c>
      <c r="M283" s="5">
        <v>12</v>
      </c>
      <c r="N283" s="3" t="str">
        <f t="shared" si="40"/>
        <v>2013,10,12</v>
      </c>
      <c r="O283" t="s">
        <v>26</v>
      </c>
      <c r="P283">
        <f t="shared" si="39"/>
        <v>9.5500000000000007</v>
      </c>
      <c r="Q283" s="6">
        <f t="shared" si="38"/>
        <v>30.150000000000002</v>
      </c>
      <c r="R283" s="7"/>
      <c r="S283" s="7"/>
      <c r="T283" s="7" t="str">
        <f t="shared" si="41"/>
        <v/>
      </c>
      <c r="U283" s="7"/>
      <c r="V283">
        <f t="shared" si="44"/>
        <v>0</v>
      </c>
      <c r="W283" s="3">
        <f t="shared" si="45"/>
        <v>0</v>
      </c>
      <c r="X283" s="3">
        <f t="shared" si="46"/>
        <v>0</v>
      </c>
    </row>
    <row r="284" spans="9:24" x14ac:dyDescent="0.2">
      <c r="I284" s="2"/>
      <c r="J284" s="4">
        <v>754</v>
      </c>
      <c r="K284" s="5">
        <v>2013</v>
      </c>
      <c r="L284" s="5">
        <v>10</v>
      </c>
      <c r="M284" s="5">
        <v>12</v>
      </c>
      <c r="N284" s="3" t="str">
        <f t="shared" si="40"/>
        <v>2013,10,12</v>
      </c>
      <c r="O284" t="s">
        <v>26</v>
      </c>
      <c r="P284">
        <f t="shared" si="39"/>
        <v>12.566666666666666</v>
      </c>
      <c r="Q284" s="6">
        <f t="shared" si="38"/>
        <v>42.716666666666669</v>
      </c>
      <c r="R284" s="7"/>
      <c r="S284" s="7"/>
      <c r="T284" s="7" t="str">
        <f t="shared" si="41"/>
        <v/>
      </c>
      <c r="U284" s="7"/>
      <c r="V284">
        <f t="shared" si="44"/>
        <v>0</v>
      </c>
      <c r="W284" s="3">
        <f t="shared" si="45"/>
        <v>0</v>
      </c>
      <c r="X284" s="3">
        <f t="shared" si="46"/>
        <v>0</v>
      </c>
    </row>
    <row r="285" spans="9:24" x14ac:dyDescent="0.2">
      <c r="I285" s="2"/>
      <c r="J285" s="4">
        <v>657</v>
      </c>
      <c r="K285" s="5">
        <v>2013</v>
      </c>
      <c r="L285" s="5">
        <v>10</v>
      </c>
      <c r="M285" s="5">
        <v>12</v>
      </c>
      <c r="N285" s="3" t="str">
        <f t="shared" si="40"/>
        <v>2013,10,12</v>
      </c>
      <c r="O285" t="s">
        <v>26</v>
      </c>
      <c r="P285">
        <f t="shared" si="39"/>
        <v>10.95</v>
      </c>
      <c r="Q285" s="6">
        <f t="shared" si="38"/>
        <v>53.666666666666671</v>
      </c>
      <c r="R285" s="7"/>
      <c r="S285" s="7"/>
      <c r="T285" s="7" t="str">
        <f t="shared" si="41"/>
        <v/>
      </c>
      <c r="U285" s="7"/>
      <c r="V285">
        <f t="shared" si="44"/>
        <v>0</v>
      </c>
      <c r="W285" s="3">
        <f t="shared" si="45"/>
        <v>0</v>
      </c>
      <c r="X285" s="3">
        <f t="shared" si="46"/>
        <v>0</v>
      </c>
    </row>
    <row r="286" spans="9:24" x14ac:dyDescent="0.2">
      <c r="I286" s="2" t="s">
        <v>72</v>
      </c>
      <c r="J286" s="4">
        <v>268</v>
      </c>
      <c r="K286" s="5">
        <v>2013</v>
      </c>
      <c r="L286" s="5">
        <v>10</v>
      </c>
      <c r="M286" s="5">
        <v>12</v>
      </c>
      <c r="N286" s="3" t="str">
        <f t="shared" si="40"/>
        <v>2013,10,12</v>
      </c>
      <c r="O286" t="s">
        <v>26</v>
      </c>
      <c r="P286">
        <f t="shared" si="39"/>
        <v>4.4666666666666668</v>
      </c>
      <c r="Q286" s="6">
        <f t="shared" si="38"/>
        <v>58.13333333333334</v>
      </c>
      <c r="R286" s="7">
        <v>0.49861111111111112</v>
      </c>
      <c r="S286" s="7">
        <f t="shared" si="42"/>
        <v>0.48958333333333331</v>
      </c>
      <c r="T286" s="7">
        <f t="shared" si="41"/>
        <v>0.53888888888888886</v>
      </c>
      <c r="U286" s="7">
        <f t="shared" si="43"/>
        <v>0.53125</v>
      </c>
      <c r="V286">
        <f t="shared" si="44"/>
        <v>11</v>
      </c>
      <c r="W286" s="3">
        <f t="shared" si="45"/>
        <v>0.96666666666666667</v>
      </c>
      <c r="X286" s="3">
        <f t="shared" si="46"/>
        <v>11.966666666666667</v>
      </c>
    </row>
    <row r="287" spans="9:24" x14ac:dyDescent="0.2">
      <c r="I287" s="2"/>
      <c r="J287" s="4">
        <v>355</v>
      </c>
      <c r="K287" s="5">
        <v>2013</v>
      </c>
      <c r="L287" s="5">
        <v>10</v>
      </c>
      <c r="M287" s="5">
        <v>17</v>
      </c>
      <c r="N287" s="3" t="str">
        <f t="shared" si="40"/>
        <v>2013,10,17</v>
      </c>
      <c r="O287" t="s">
        <v>53</v>
      </c>
      <c r="P287">
        <f t="shared" si="39"/>
        <v>5.916666666666667</v>
      </c>
      <c r="Q287" s="6">
        <f t="shared" si="38"/>
        <v>5.916666666666667</v>
      </c>
      <c r="R287" s="7"/>
      <c r="S287" s="7"/>
      <c r="T287" s="7" t="str">
        <f t="shared" si="41"/>
        <v/>
      </c>
      <c r="U287" s="7"/>
      <c r="V287">
        <f t="shared" si="44"/>
        <v>0</v>
      </c>
      <c r="W287" s="3">
        <f t="shared" si="45"/>
        <v>0</v>
      </c>
      <c r="X287" s="3">
        <f t="shared" si="46"/>
        <v>0</v>
      </c>
    </row>
    <row r="288" spans="9:24" x14ac:dyDescent="0.2">
      <c r="I288" s="2"/>
      <c r="J288" s="4">
        <v>632</v>
      </c>
      <c r="K288" s="5">
        <v>2013</v>
      </c>
      <c r="L288" s="5">
        <v>10</v>
      </c>
      <c r="M288" s="5">
        <v>17</v>
      </c>
      <c r="N288" s="3" t="str">
        <f t="shared" si="40"/>
        <v>2013,10,17</v>
      </c>
      <c r="O288" t="s">
        <v>53</v>
      </c>
      <c r="P288">
        <f t="shared" si="39"/>
        <v>10.533333333333333</v>
      </c>
      <c r="Q288" s="6">
        <f t="shared" si="38"/>
        <v>16.45</v>
      </c>
      <c r="R288" s="7"/>
      <c r="S288" s="7"/>
      <c r="T288" s="7" t="str">
        <f t="shared" si="41"/>
        <v/>
      </c>
      <c r="U288" s="7"/>
      <c r="V288">
        <f t="shared" si="44"/>
        <v>0</v>
      </c>
      <c r="W288" s="3">
        <f t="shared" si="45"/>
        <v>0</v>
      </c>
      <c r="X288" s="3">
        <f t="shared" si="46"/>
        <v>0</v>
      </c>
    </row>
    <row r="289" spans="9:24" x14ac:dyDescent="0.2">
      <c r="I289" s="2"/>
      <c r="J289" s="4">
        <v>1017</v>
      </c>
      <c r="K289" s="5">
        <v>2013</v>
      </c>
      <c r="L289" s="5">
        <v>10</v>
      </c>
      <c r="M289" s="5">
        <v>17</v>
      </c>
      <c r="N289" s="3" t="str">
        <f t="shared" si="40"/>
        <v>2013,10,17</v>
      </c>
      <c r="O289" t="s">
        <v>53</v>
      </c>
      <c r="P289">
        <f t="shared" si="39"/>
        <v>16.95</v>
      </c>
      <c r="Q289" s="6">
        <f t="shared" si="38"/>
        <v>33.4</v>
      </c>
      <c r="R289" s="7"/>
      <c r="S289" s="7"/>
      <c r="T289" s="7" t="str">
        <f t="shared" si="41"/>
        <v/>
      </c>
      <c r="U289" s="7"/>
      <c r="V289">
        <f t="shared" si="44"/>
        <v>0</v>
      </c>
      <c r="W289" s="3">
        <f t="shared" si="45"/>
        <v>0</v>
      </c>
      <c r="X289" s="3">
        <f t="shared" si="46"/>
        <v>0</v>
      </c>
    </row>
    <row r="290" spans="9:24" x14ac:dyDescent="0.2">
      <c r="I290" s="2"/>
      <c r="J290" s="4">
        <v>419</v>
      </c>
      <c r="K290" s="5">
        <v>2013</v>
      </c>
      <c r="L290" s="5">
        <v>10</v>
      </c>
      <c r="M290" s="5">
        <v>17</v>
      </c>
      <c r="N290" s="3" t="str">
        <f t="shared" si="40"/>
        <v>2013,10,17</v>
      </c>
      <c r="O290" t="s">
        <v>53</v>
      </c>
      <c r="P290">
        <f t="shared" si="39"/>
        <v>6.9833333333333334</v>
      </c>
      <c r="Q290" s="6">
        <f t="shared" ref="Q290:Q353" si="47">IF(O289=O290, Q289+P290,P290)</f>
        <v>40.383333333333333</v>
      </c>
      <c r="R290" s="7"/>
      <c r="S290" s="7"/>
      <c r="T290" s="7" t="str">
        <f t="shared" si="41"/>
        <v/>
      </c>
      <c r="U290" s="7"/>
      <c r="V290">
        <f t="shared" si="44"/>
        <v>0</v>
      </c>
      <c r="W290" s="3">
        <f t="shared" si="45"/>
        <v>0</v>
      </c>
      <c r="X290" s="3">
        <f t="shared" si="46"/>
        <v>0</v>
      </c>
    </row>
    <row r="291" spans="9:24" x14ac:dyDescent="0.2">
      <c r="I291" s="2" t="s">
        <v>73</v>
      </c>
      <c r="J291" s="4">
        <v>350</v>
      </c>
      <c r="K291" s="5">
        <v>2013</v>
      </c>
      <c r="L291" s="5">
        <v>10</v>
      </c>
      <c r="M291" s="5">
        <v>17</v>
      </c>
      <c r="N291" s="3" t="str">
        <f t="shared" si="40"/>
        <v>2013,10,17</v>
      </c>
      <c r="O291" t="s">
        <v>53</v>
      </c>
      <c r="P291">
        <f t="shared" si="39"/>
        <v>5.833333333333333</v>
      </c>
      <c r="Q291" s="6">
        <f t="shared" si="47"/>
        <v>46.216666666666669</v>
      </c>
      <c r="R291" s="7">
        <v>0.41666666666666669</v>
      </c>
      <c r="S291" s="7">
        <f t="shared" si="42"/>
        <v>0.41666666666666663</v>
      </c>
      <c r="T291" s="7">
        <f t="shared" si="41"/>
        <v>0.44861111111111113</v>
      </c>
      <c r="U291" s="7">
        <f t="shared" si="43"/>
        <v>0.44791666666666663</v>
      </c>
      <c r="V291">
        <f t="shared" si="44"/>
        <v>10</v>
      </c>
      <c r="W291" s="3">
        <f t="shared" si="45"/>
        <v>0</v>
      </c>
      <c r="X291" s="3">
        <f t="shared" si="46"/>
        <v>10</v>
      </c>
    </row>
    <row r="292" spans="9:24" x14ac:dyDescent="0.2">
      <c r="I292" s="2"/>
      <c r="J292" s="4">
        <v>460</v>
      </c>
      <c r="K292" s="5">
        <v>2013</v>
      </c>
      <c r="L292" s="5">
        <v>10</v>
      </c>
      <c r="M292" s="5">
        <v>19</v>
      </c>
      <c r="N292" s="3" t="str">
        <f t="shared" si="40"/>
        <v>2013,10,19</v>
      </c>
      <c r="O292" t="s">
        <v>26</v>
      </c>
      <c r="P292">
        <f t="shared" si="39"/>
        <v>7.666666666666667</v>
      </c>
      <c r="Q292" s="6">
        <f t="shared" si="47"/>
        <v>7.666666666666667</v>
      </c>
      <c r="R292" s="7"/>
      <c r="S292" s="7"/>
      <c r="T292" s="7" t="str">
        <f t="shared" si="41"/>
        <v/>
      </c>
      <c r="U292" s="7"/>
      <c r="V292">
        <f t="shared" si="44"/>
        <v>0</v>
      </c>
      <c r="W292" s="3">
        <f t="shared" si="45"/>
        <v>0</v>
      </c>
      <c r="X292" s="3">
        <f t="shared" si="46"/>
        <v>0</v>
      </c>
    </row>
    <row r="293" spans="9:24" x14ac:dyDescent="0.2">
      <c r="I293" s="2"/>
      <c r="J293" s="4">
        <v>348</v>
      </c>
      <c r="K293" s="5">
        <v>2013</v>
      </c>
      <c r="L293" s="5">
        <v>10</v>
      </c>
      <c r="M293" s="5">
        <v>19</v>
      </c>
      <c r="N293" s="3" t="str">
        <f t="shared" si="40"/>
        <v>2013,10,19</v>
      </c>
      <c r="O293" t="s">
        <v>26</v>
      </c>
      <c r="P293">
        <f t="shared" si="39"/>
        <v>5.8</v>
      </c>
      <c r="Q293" s="6">
        <f t="shared" si="47"/>
        <v>13.466666666666667</v>
      </c>
      <c r="R293" s="7"/>
      <c r="S293" s="7"/>
      <c r="T293" s="7" t="str">
        <f t="shared" si="41"/>
        <v/>
      </c>
      <c r="U293" s="7"/>
      <c r="V293">
        <f t="shared" si="44"/>
        <v>0</v>
      </c>
      <c r="W293" s="3">
        <f t="shared" si="45"/>
        <v>0</v>
      </c>
      <c r="X293" s="3">
        <f t="shared" si="46"/>
        <v>0</v>
      </c>
    </row>
    <row r="294" spans="9:24" x14ac:dyDescent="0.2">
      <c r="I294" s="2"/>
      <c r="J294" s="4">
        <v>1021</v>
      </c>
      <c r="K294" s="5">
        <v>2013</v>
      </c>
      <c r="L294" s="5">
        <v>10</v>
      </c>
      <c r="M294" s="5">
        <v>19</v>
      </c>
      <c r="N294" s="3" t="str">
        <f t="shared" si="40"/>
        <v>2013,10,19</v>
      </c>
      <c r="O294" t="s">
        <v>26</v>
      </c>
      <c r="P294">
        <f t="shared" si="39"/>
        <v>17.016666666666666</v>
      </c>
      <c r="Q294" s="6">
        <f t="shared" si="47"/>
        <v>30.483333333333334</v>
      </c>
      <c r="R294" s="7"/>
      <c r="S294" s="7"/>
      <c r="T294" s="7" t="str">
        <f t="shared" si="41"/>
        <v/>
      </c>
      <c r="U294" s="7"/>
      <c r="V294">
        <f t="shared" si="44"/>
        <v>0</v>
      </c>
      <c r="W294" s="3">
        <f t="shared" si="45"/>
        <v>0</v>
      </c>
      <c r="X294" s="3">
        <f t="shared" si="46"/>
        <v>0</v>
      </c>
    </row>
    <row r="295" spans="9:24" x14ac:dyDescent="0.2">
      <c r="I295" s="2"/>
      <c r="J295" s="4">
        <v>374</v>
      </c>
      <c r="K295" s="5">
        <v>2013</v>
      </c>
      <c r="L295" s="5">
        <v>10</v>
      </c>
      <c r="M295" s="5">
        <v>19</v>
      </c>
      <c r="N295" s="3" t="str">
        <f t="shared" si="40"/>
        <v>2013,10,19</v>
      </c>
      <c r="O295" t="s">
        <v>26</v>
      </c>
      <c r="P295">
        <f t="shared" si="39"/>
        <v>6.2333333333333334</v>
      </c>
      <c r="Q295" s="6">
        <f t="shared" si="47"/>
        <v>36.716666666666669</v>
      </c>
      <c r="R295" s="7"/>
      <c r="S295" s="7"/>
      <c r="T295" s="7" t="str">
        <f t="shared" si="41"/>
        <v/>
      </c>
      <c r="U295" s="7"/>
      <c r="V295">
        <f t="shared" si="44"/>
        <v>0</v>
      </c>
      <c r="W295" s="3">
        <f t="shared" si="45"/>
        <v>0</v>
      </c>
      <c r="X295" s="3">
        <f t="shared" si="46"/>
        <v>0</v>
      </c>
    </row>
    <row r="296" spans="9:24" x14ac:dyDescent="0.2">
      <c r="I296" s="16" t="s">
        <v>74</v>
      </c>
      <c r="J296" s="11">
        <v>693</v>
      </c>
      <c r="K296" s="12">
        <v>2013</v>
      </c>
      <c r="L296" s="12">
        <v>10</v>
      </c>
      <c r="M296" s="12">
        <v>19</v>
      </c>
      <c r="N296" s="13" t="str">
        <f t="shared" si="40"/>
        <v>2013,10,19</v>
      </c>
      <c r="O296" s="14" t="s">
        <v>26</v>
      </c>
      <c r="P296" s="14">
        <f t="shared" si="39"/>
        <v>11.55</v>
      </c>
      <c r="Q296" s="15">
        <f t="shared" si="47"/>
        <v>48.266666666666666</v>
      </c>
      <c r="R296" s="7"/>
      <c r="S296" s="7"/>
      <c r="T296" s="7" t="str">
        <f t="shared" si="41"/>
        <v/>
      </c>
      <c r="U296" s="7"/>
      <c r="V296">
        <f t="shared" si="44"/>
        <v>0</v>
      </c>
      <c r="W296" s="3">
        <f t="shared" si="45"/>
        <v>0</v>
      </c>
      <c r="X296" s="3">
        <f t="shared" si="46"/>
        <v>0</v>
      </c>
    </row>
    <row r="297" spans="9:24" x14ac:dyDescent="0.2">
      <c r="I297" s="2"/>
      <c r="J297" s="4">
        <v>736</v>
      </c>
      <c r="K297" s="5">
        <v>2013</v>
      </c>
      <c r="L297" s="5">
        <v>10</v>
      </c>
      <c r="M297" s="5">
        <v>24</v>
      </c>
      <c r="N297" s="3" t="str">
        <f t="shared" si="40"/>
        <v>2013,10,24</v>
      </c>
      <c r="O297" t="s">
        <v>53</v>
      </c>
      <c r="P297">
        <f t="shared" si="39"/>
        <v>12.266666666666667</v>
      </c>
      <c r="Q297" s="6">
        <f t="shared" si="47"/>
        <v>12.266666666666667</v>
      </c>
      <c r="R297" s="7"/>
      <c r="S297" s="7"/>
      <c r="T297" s="7" t="str">
        <f t="shared" si="41"/>
        <v/>
      </c>
      <c r="U297" s="7"/>
      <c r="V297">
        <f t="shared" si="44"/>
        <v>0</v>
      </c>
      <c r="W297" s="3">
        <f t="shared" si="45"/>
        <v>0</v>
      </c>
      <c r="X297" s="3">
        <f t="shared" si="46"/>
        <v>0</v>
      </c>
    </row>
    <row r="298" spans="9:24" x14ac:dyDescent="0.2">
      <c r="I298" s="2"/>
      <c r="J298" s="4">
        <v>604</v>
      </c>
      <c r="K298" s="5">
        <v>2013</v>
      </c>
      <c r="L298" s="5">
        <v>10</v>
      </c>
      <c r="M298" s="5">
        <v>24</v>
      </c>
      <c r="N298" s="3" t="str">
        <f t="shared" si="40"/>
        <v>2013,10,24</v>
      </c>
      <c r="O298" t="s">
        <v>53</v>
      </c>
      <c r="P298">
        <f t="shared" si="39"/>
        <v>10.066666666666666</v>
      </c>
      <c r="Q298" s="6">
        <f t="shared" si="47"/>
        <v>22.333333333333336</v>
      </c>
      <c r="R298" s="7"/>
      <c r="S298" s="7"/>
      <c r="T298" s="7" t="str">
        <f t="shared" si="41"/>
        <v/>
      </c>
      <c r="U298" s="7"/>
      <c r="V298">
        <f t="shared" si="44"/>
        <v>0</v>
      </c>
      <c r="W298" s="3">
        <f t="shared" si="45"/>
        <v>0</v>
      </c>
      <c r="X298" s="3">
        <f t="shared" si="46"/>
        <v>0</v>
      </c>
    </row>
    <row r="299" spans="9:24" x14ac:dyDescent="0.2">
      <c r="I299" s="2"/>
      <c r="J299" s="4">
        <v>877</v>
      </c>
      <c r="K299" s="5">
        <v>2013</v>
      </c>
      <c r="L299" s="5">
        <v>10</v>
      </c>
      <c r="M299" s="5">
        <v>24</v>
      </c>
      <c r="N299" s="3" t="str">
        <f t="shared" si="40"/>
        <v>2013,10,24</v>
      </c>
      <c r="O299" t="s">
        <v>53</v>
      </c>
      <c r="P299">
        <f t="shared" si="39"/>
        <v>14.616666666666667</v>
      </c>
      <c r="Q299" s="6">
        <f t="shared" si="47"/>
        <v>36.950000000000003</v>
      </c>
      <c r="R299" s="7"/>
      <c r="S299" s="7"/>
      <c r="T299" s="7" t="str">
        <f t="shared" si="41"/>
        <v/>
      </c>
      <c r="U299" s="7"/>
      <c r="V299">
        <f t="shared" si="44"/>
        <v>0</v>
      </c>
      <c r="W299" s="3">
        <f t="shared" si="45"/>
        <v>0</v>
      </c>
      <c r="X299" s="3">
        <f t="shared" si="46"/>
        <v>0</v>
      </c>
    </row>
    <row r="300" spans="9:24" x14ac:dyDescent="0.2">
      <c r="I300" s="2" t="s">
        <v>75</v>
      </c>
      <c r="J300" s="4">
        <v>185</v>
      </c>
      <c r="K300" s="5">
        <v>2013</v>
      </c>
      <c r="L300" s="5">
        <v>10</v>
      </c>
      <c r="M300" s="5">
        <v>24</v>
      </c>
      <c r="N300" s="3" t="str">
        <f t="shared" si="40"/>
        <v>2013,10,24</v>
      </c>
      <c r="O300" t="s">
        <v>53</v>
      </c>
      <c r="P300">
        <f t="shared" si="39"/>
        <v>3.0833333333333335</v>
      </c>
      <c r="Q300" s="6">
        <f t="shared" si="47"/>
        <v>40.033333333333339</v>
      </c>
      <c r="R300" s="7">
        <v>0.31736111111111115</v>
      </c>
      <c r="S300" s="7">
        <f t="shared" si="42"/>
        <v>0.3125</v>
      </c>
      <c r="T300" s="7">
        <f t="shared" si="41"/>
        <v>0.34513888888888894</v>
      </c>
      <c r="U300" s="7">
        <f t="shared" si="43"/>
        <v>0.34375</v>
      </c>
      <c r="V300">
        <f t="shared" si="44"/>
        <v>7</v>
      </c>
      <c r="W300" s="3">
        <f t="shared" si="45"/>
        <v>0.6166666666666667</v>
      </c>
      <c r="X300" s="3">
        <f t="shared" si="46"/>
        <v>7.6166666666666671</v>
      </c>
    </row>
    <row r="301" spans="9:24" x14ac:dyDescent="0.2">
      <c r="I301" s="2"/>
      <c r="J301" s="4">
        <v>557</v>
      </c>
      <c r="K301" s="5">
        <v>2013</v>
      </c>
      <c r="L301" s="5">
        <v>10</v>
      </c>
      <c r="M301" s="5">
        <v>27</v>
      </c>
      <c r="N301" s="3" t="str">
        <f t="shared" si="40"/>
        <v>2013,10,27</v>
      </c>
      <c r="O301" t="s">
        <v>21</v>
      </c>
      <c r="P301">
        <f t="shared" si="39"/>
        <v>9.2833333333333332</v>
      </c>
      <c r="Q301" s="6">
        <f t="shared" si="47"/>
        <v>9.2833333333333332</v>
      </c>
      <c r="R301" s="7"/>
      <c r="S301" s="7"/>
      <c r="T301" s="7" t="str">
        <f t="shared" si="41"/>
        <v/>
      </c>
      <c r="U301" s="7"/>
      <c r="V301">
        <f t="shared" si="44"/>
        <v>0</v>
      </c>
      <c r="W301" s="3">
        <f t="shared" si="45"/>
        <v>0</v>
      </c>
      <c r="X301" s="3">
        <f t="shared" si="46"/>
        <v>0</v>
      </c>
    </row>
    <row r="302" spans="9:24" x14ac:dyDescent="0.2">
      <c r="I302" s="2"/>
      <c r="J302" s="4">
        <v>1800</v>
      </c>
      <c r="K302" s="5">
        <v>2013</v>
      </c>
      <c r="L302" s="5">
        <v>10</v>
      </c>
      <c r="M302" s="5">
        <v>27</v>
      </c>
      <c r="N302" s="3" t="str">
        <f t="shared" si="40"/>
        <v>2013,10,27</v>
      </c>
      <c r="O302" t="s">
        <v>21</v>
      </c>
      <c r="P302">
        <f t="shared" si="39"/>
        <v>30</v>
      </c>
      <c r="Q302" s="6">
        <f t="shared" si="47"/>
        <v>39.283333333333331</v>
      </c>
      <c r="R302" s="7"/>
      <c r="S302" s="7"/>
      <c r="T302" s="7" t="str">
        <f t="shared" si="41"/>
        <v/>
      </c>
      <c r="U302" s="7"/>
      <c r="V302">
        <f t="shared" si="44"/>
        <v>0</v>
      </c>
      <c r="W302" s="3">
        <f t="shared" si="45"/>
        <v>0</v>
      </c>
      <c r="X302" s="3">
        <f t="shared" si="46"/>
        <v>0</v>
      </c>
    </row>
    <row r="303" spans="9:24" x14ac:dyDescent="0.2">
      <c r="I303" s="2"/>
      <c r="J303" s="4">
        <v>96</v>
      </c>
      <c r="K303" s="5">
        <v>2013</v>
      </c>
      <c r="L303" s="5">
        <v>10</v>
      </c>
      <c r="M303" s="5">
        <v>27</v>
      </c>
      <c r="N303" s="3" t="str">
        <f t="shared" si="40"/>
        <v>2013,10,27</v>
      </c>
      <c r="O303" t="s">
        <v>21</v>
      </c>
      <c r="P303">
        <f t="shared" si="39"/>
        <v>1.6</v>
      </c>
      <c r="Q303" s="6">
        <f t="shared" si="47"/>
        <v>40.883333333333333</v>
      </c>
      <c r="R303" s="7"/>
      <c r="S303" s="7"/>
      <c r="T303" s="7" t="str">
        <f t="shared" si="41"/>
        <v/>
      </c>
      <c r="U303" s="7"/>
      <c r="V303">
        <f t="shared" si="44"/>
        <v>0</v>
      </c>
      <c r="W303" s="3">
        <f t="shared" si="45"/>
        <v>0</v>
      </c>
      <c r="X303" s="3">
        <f t="shared" si="46"/>
        <v>0</v>
      </c>
    </row>
    <row r="304" spans="9:24" x14ac:dyDescent="0.2">
      <c r="I304" s="2" t="s">
        <v>76</v>
      </c>
      <c r="J304" s="4">
        <v>310</v>
      </c>
      <c r="K304" s="5">
        <v>2013</v>
      </c>
      <c r="L304" s="5">
        <v>10</v>
      </c>
      <c r="M304" s="5">
        <v>27</v>
      </c>
      <c r="N304" s="3" t="str">
        <f t="shared" si="40"/>
        <v>2013,10,27</v>
      </c>
      <c r="O304" t="s">
        <v>21</v>
      </c>
      <c r="P304">
        <f t="shared" si="39"/>
        <v>5.166666666666667</v>
      </c>
      <c r="Q304" s="6">
        <f t="shared" si="47"/>
        <v>46.05</v>
      </c>
      <c r="R304" s="7">
        <v>0.5229166666666667</v>
      </c>
      <c r="S304" s="7">
        <f t="shared" si="42"/>
        <v>0.52083333333333326</v>
      </c>
      <c r="T304" s="7">
        <f t="shared" si="41"/>
        <v>0.55486111111111114</v>
      </c>
      <c r="U304" s="7">
        <f t="shared" si="43"/>
        <v>0.55208333333333326</v>
      </c>
      <c r="V304">
        <f t="shared" si="44"/>
        <v>12</v>
      </c>
      <c r="W304" s="3">
        <f t="shared" si="45"/>
        <v>0.55000000000000004</v>
      </c>
      <c r="X304" s="3">
        <f t="shared" si="46"/>
        <v>12.55</v>
      </c>
    </row>
    <row r="305" spans="9:24" x14ac:dyDescent="0.2">
      <c r="I305" s="2"/>
      <c r="J305" s="4">
        <v>343</v>
      </c>
      <c r="K305" s="5">
        <v>2013</v>
      </c>
      <c r="L305" s="5">
        <v>10</v>
      </c>
      <c r="M305" s="5">
        <v>31</v>
      </c>
      <c r="N305" s="3" t="str">
        <f t="shared" si="40"/>
        <v>2013,10,31</v>
      </c>
      <c r="O305" t="s">
        <v>53</v>
      </c>
      <c r="P305">
        <f t="shared" si="39"/>
        <v>5.7166666666666668</v>
      </c>
      <c r="Q305" s="6">
        <f t="shared" si="47"/>
        <v>5.7166666666666668</v>
      </c>
      <c r="R305" s="7"/>
      <c r="S305" s="7"/>
      <c r="T305" s="7" t="str">
        <f t="shared" si="41"/>
        <v/>
      </c>
      <c r="U305" s="7"/>
      <c r="V305">
        <f t="shared" si="44"/>
        <v>0</v>
      </c>
      <c r="W305" s="3">
        <f t="shared" si="45"/>
        <v>0</v>
      </c>
      <c r="X305" s="3">
        <f t="shared" si="46"/>
        <v>0</v>
      </c>
    </row>
    <row r="306" spans="9:24" x14ac:dyDescent="0.2">
      <c r="I306" s="2"/>
      <c r="J306" s="4">
        <v>338</v>
      </c>
      <c r="K306" s="5">
        <v>2013</v>
      </c>
      <c r="L306" s="5">
        <v>10</v>
      </c>
      <c r="M306" s="5">
        <v>31</v>
      </c>
      <c r="N306" s="3" t="str">
        <f t="shared" si="40"/>
        <v>2013,10,31</v>
      </c>
      <c r="O306" t="s">
        <v>53</v>
      </c>
      <c r="P306">
        <f t="shared" si="39"/>
        <v>5.6333333333333337</v>
      </c>
      <c r="Q306" s="6">
        <f t="shared" si="47"/>
        <v>11.350000000000001</v>
      </c>
      <c r="R306" s="7"/>
      <c r="S306" s="7"/>
      <c r="T306" s="7" t="str">
        <f t="shared" si="41"/>
        <v/>
      </c>
      <c r="U306" s="7"/>
      <c r="V306">
        <f t="shared" si="44"/>
        <v>0</v>
      </c>
      <c r="W306" s="3">
        <f t="shared" si="45"/>
        <v>0</v>
      </c>
      <c r="X306" s="3">
        <f t="shared" si="46"/>
        <v>0</v>
      </c>
    </row>
    <row r="307" spans="9:24" x14ac:dyDescent="0.2">
      <c r="I307" s="2"/>
      <c r="J307" s="4">
        <v>830</v>
      </c>
      <c r="K307" s="5">
        <v>2013</v>
      </c>
      <c r="L307" s="5">
        <v>10</v>
      </c>
      <c r="M307" s="5">
        <v>31</v>
      </c>
      <c r="N307" s="3" t="str">
        <f t="shared" si="40"/>
        <v>2013,10,31</v>
      </c>
      <c r="O307" t="s">
        <v>53</v>
      </c>
      <c r="P307">
        <f t="shared" si="39"/>
        <v>13.833333333333334</v>
      </c>
      <c r="Q307" s="6">
        <f t="shared" si="47"/>
        <v>25.183333333333337</v>
      </c>
      <c r="R307" s="7"/>
      <c r="S307" s="7"/>
      <c r="T307" s="7" t="str">
        <f t="shared" si="41"/>
        <v/>
      </c>
      <c r="U307" s="7"/>
      <c r="V307">
        <f t="shared" si="44"/>
        <v>0</v>
      </c>
      <c r="W307" s="3">
        <f t="shared" si="45"/>
        <v>0</v>
      </c>
      <c r="X307" s="3">
        <f t="shared" si="46"/>
        <v>0</v>
      </c>
    </row>
    <row r="308" spans="9:24" x14ac:dyDescent="0.2">
      <c r="I308" s="2"/>
      <c r="J308" s="4">
        <v>261</v>
      </c>
      <c r="K308" s="5">
        <v>2013</v>
      </c>
      <c r="L308" s="5">
        <v>10</v>
      </c>
      <c r="M308" s="5">
        <v>31</v>
      </c>
      <c r="N308" s="3" t="str">
        <f t="shared" si="40"/>
        <v>2013,10,31</v>
      </c>
      <c r="O308" t="s">
        <v>53</v>
      </c>
      <c r="P308">
        <f t="shared" ref="P308:P371" si="48">J308/60</f>
        <v>4.3499999999999996</v>
      </c>
      <c r="Q308" s="6">
        <f t="shared" si="47"/>
        <v>29.533333333333339</v>
      </c>
      <c r="R308" s="7"/>
      <c r="S308" s="7"/>
      <c r="T308" s="7" t="str">
        <f t="shared" si="41"/>
        <v/>
      </c>
      <c r="U308" s="7"/>
      <c r="V308">
        <f t="shared" si="44"/>
        <v>0</v>
      </c>
      <c r="W308" s="3">
        <f t="shared" si="45"/>
        <v>0</v>
      </c>
      <c r="X308" s="3">
        <f t="shared" si="46"/>
        <v>0</v>
      </c>
    </row>
    <row r="309" spans="9:24" x14ac:dyDescent="0.2">
      <c r="I309" s="2"/>
      <c r="J309" s="4">
        <v>538</v>
      </c>
      <c r="K309" s="5">
        <v>2013</v>
      </c>
      <c r="L309" s="5">
        <v>10</v>
      </c>
      <c r="M309" s="5">
        <v>31</v>
      </c>
      <c r="N309" s="3" t="str">
        <f t="shared" si="40"/>
        <v>2013,10,31</v>
      </c>
      <c r="O309" t="s">
        <v>53</v>
      </c>
      <c r="P309">
        <f t="shared" si="48"/>
        <v>8.9666666666666668</v>
      </c>
      <c r="Q309" s="6">
        <f t="shared" si="47"/>
        <v>38.500000000000007</v>
      </c>
      <c r="R309" s="7"/>
      <c r="S309" s="7"/>
      <c r="T309" s="7" t="str">
        <f t="shared" si="41"/>
        <v/>
      </c>
      <c r="U309" s="7"/>
      <c r="V309">
        <f t="shared" si="44"/>
        <v>0</v>
      </c>
      <c r="W309" s="3">
        <f t="shared" si="45"/>
        <v>0</v>
      </c>
      <c r="X309" s="3">
        <f t="shared" si="46"/>
        <v>0</v>
      </c>
    </row>
    <row r="310" spans="9:24" x14ac:dyDescent="0.2">
      <c r="I310" s="2"/>
      <c r="J310" s="4">
        <v>303</v>
      </c>
      <c r="K310" s="5">
        <v>2013</v>
      </c>
      <c r="L310" s="5">
        <v>10</v>
      </c>
      <c r="M310" s="5">
        <v>31</v>
      </c>
      <c r="N310" s="3" t="str">
        <f t="shared" si="40"/>
        <v>2013,10,31</v>
      </c>
      <c r="O310" t="s">
        <v>53</v>
      </c>
      <c r="P310">
        <f t="shared" si="48"/>
        <v>5.05</v>
      </c>
      <c r="Q310" s="6">
        <f t="shared" si="47"/>
        <v>43.550000000000004</v>
      </c>
      <c r="R310" s="7"/>
      <c r="S310" s="7"/>
      <c r="T310" s="7" t="str">
        <f t="shared" si="41"/>
        <v/>
      </c>
      <c r="U310" s="7"/>
      <c r="V310">
        <f t="shared" si="44"/>
        <v>0</v>
      </c>
      <c r="W310" s="3">
        <f t="shared" si="45"/>
        <v>0</v>
      </c>
      <c r="X310" s="3">
        <f t="shared" si="46"/>
        <v>0</v>
      </c>
    </row>
    <row r="311" spans="9:24" x14ac:dyDescent="0.2">
      <c r="I311" s="2"/>
      <c r="J311" s="4">
        <v>452</v>
      </c>
      <c r="K311" s="5">
        <v>2013</v>
      </c>
      <c r="L311" s="5">
        <v>10</v>
      </c>
      <c r="M311" s="5">
        <v>31</v>
      </c>
      <c r="N311" s="3" t="str">
        <f t="shared" si="40"/>
        <v>2013,10,31</v>
      </c>
      <c r="O311" t="s">
        <v>53</v>
      </c>
      <c r="P311">
        <f t="shared" si="48"/>
        <v>7.5333333333333332</v>
      </c>
      <c r="Q311" s="6">
        <f t="shared" si="47"/>
        <v>51.083333333333336</v>
      </c>
      <c r="R311" s="7"/>
      <c r="S311" s="7"/>
      <c r="T311" s="7" t="str">
        <f t="shared" si="41"/>
        <v/>
      </c>
      <c r="U311" s="7"/>
      <c r="V311">
        <f t="shared" si="44"/>
        <v>0</v>
      </c>
      <c r="W311" s="3">
        <f t="shared" si="45"/>
        <v>0</v>
      </c>
      <c r="X311" s="3">
        <f t="shared" si="46"/>
        <v>0</v>
      </c>
    </row>
    <row r="312" spans="9:24" x14ac:dyDescent="0.2">
      <c r="I312" s="2"/>
      <c r="J312" s="4">
        <v>457</v>
      </c>
      <c r="K312" s="5">
        <v>2013</v>
      </c>
      <c r="L312" s="5">
        <v>10</v>
      </c>
      <c r="M312" s="5">
        <v>31</v>
      </c>
      <c r="N312" s="3" t="str">
        <f t="shared" si="40"/>
        <v>2013,10,31</v>
      </c>
      <c r="O312" t="s">
        <v>53</v>
      </c>
      <c r="P312">
        <f t="shared" si="48"/>
        <v>7.6166666666666663</v>
      </c>
      <c r="Q312" s="6">
        <f t="shared" si="47"/>
        <v>58.7</v>
      </c>
      <c r="R312" s="7"/>
      <c r="S312" s="7"/>
      <c r="T312" s="7" t="str">
        <f t="shared" si="41"/>
        <v/>
      </c>
      <c r="U312" s="7"/>
      <c r="V312">
        <f t="shared" si="44"/>
        <v>0</v>
      </c>
      <c r="W312" s="3">
        <f t="shared" si="45"/>
        <v>0</v>
      </c>
      <c r="X312" s="3">
        <f t="shared" si="46"/>
        <v>0</v>
      </c>
    </row>
    <row r="313" spans="9:24" x14ac:dyDescent="0.2">
      <c r="I313" s="2" t="s">
        <v>77</v>
      </c>
      <c r="J313" s="4">
        <v>61</v>
      </c>
      <c r="K313" s="5">
        <v>2013</v>
      </c>
      <c r="L313" s="5">
        <v>10</v>
      </c>
      <c r="M313" s="5">
        <v>31</v>
      </c>
      <c r="N313" s="3" t="str">
        <f t="shared" si="40"/>
        <v>2013,10,31</v>
      </c>
      <c r="O313" t="s">
        <v>53</v>
      </c>
      <c r="P313">
        <f t="shared" si="48"/>
        <v>1.0166666666666666</v>
      </c>
      <c r="Q313" s="6">
        <f t="shared" si="47"/>
        <v>59.716666666666669</v>
      </c>
      <c r="R313" s="7">
        <v>0.29652777777777778</v>
      </c>
      <c r="S313" s="7">
        <f t="shared" si="42"/>
        <v>0.29166666666666663</v>
      </c>
      <c r="T313" s="7">
        <f t="shared" si="41"/>
        <v>0.33750000000000002</v>
      </c>
      <c r="U313" s="7">
        <f t="shared" si="43"/>
        <v>0.33333333333333331</v>
      </c>
      <c r="V313">
        <f t="shared" si="44"/>
        <v>7</v>
      </c>
      <c r="W313" s="3">
        <f t="shared" si="45"/>
        <v>0.11666666666666667</v>
      </c>
      <c r="X313" s="3">
        <f t="shared" si="46"/>
        <v>7.1166666666666663</v>
      </c>
    </row>
    <row r="314" spans="9:24" x14ac:dyDescent="0.2">
      <c r="I314" s="2"/>
      <c r="J314" s="4">
        <v>876</v>
      </c>
      <c r="K314" s="5">
        <v>2013</v>
      </c>
      <c r="L314" s="5">
        <v>11</v>
      </c>
      <c r="M314" s="5">
        <v>3</v>
      </c>
      <c r="N314" s="3" t="str">
        <f t="shared" si="40"/>
        <v>2013,11,3</v>
      </c>
      <c r="O314" t="s">
        <v>21</v>
      </c>
      <c r="P314">
        <f t="shared" si="48"/>
        <v>14.6</v>
      </c>
      <c r="Q314" s="6">
        <f t="shared" si="47"/>
        <v>14.6</v>
      </c>
      <c r="R314" s="7"/>
      <c r="S314" s="7"/>
      <c r="T314" s="7" t="str">
        <f t="shared" si="41"/>
        <v/>
      </c>
      <c r="U314" s="7"/>
      <c r="V314">
        <f t="shared" si="44"/>
        <v>0</v>
      </c>
      <c r="W314" s="3">
        <f t="shared" si="45"/>
        <v>0</v>
      </c>
      <c r="X314" s="3">
        <f t="shared" si="46"/>
        <v>0</v>
      </c>
    </row>
    <row r="315" spans="9:24" x14ac:dyDescent="0.2">
      <c r="I315" s="2"/>
      <c r="J315" s="4">
        <v>682</v>
      </c>
      <c r="K315" s="5">
        <v>2013</v>
      </c>
      <c r="L315" s="5">
        <v>11</v>
      </c>
      <c r="M315" s="5">
        <v>3</v>
      </c>
      <c r="N315" s="3" t="str">
        <f t="shared" si="40"/>
        <v>2013,11,3</v>
      </c>
      <c r="O315" t="s">
        <v>21</v>
      </c>
      <c r="P315">
        <f t="shared" si="48"/>
        <v>11.366666666666667</v>
      </c>
      <c r="Q315" s="6">
        <f t="shared" si="47"/>
        <v>25.966666666666669</v>
      </c>
      <c r="R315" s="7"/>
      <c r="S315" s="7"/>
      <c r="T315" s="7" t="str">
        <f t="shared" si="41"/>
        <v/>
      </c>
      <c r="U315" s="7"/>
      <c r="V315">
        <f t="shared" si="44"/>
        <v>0</v>
      </c>
      <c r="W315" s="3">
        <f t="shared" si="45"/>
        <v>0</v>
      </c>
      <c r="X315" s="3">
        <f t="shared" si="46"/>
        <v>0</v>
      </c>
    </row>
    <row r="316" spans="9:24" x14ac:dyDescent="0.2">
      <c r="I316" s="2"/>
      <c r="J316" s="4">
        <v>356</v>
      </c>
      <c r="K316" s="5">
        <v>2013</v>
      </c>
      <c r="L316" s="5">
        <v>11</v>
      </c>
      <c r="M316" s="5">
        <v>3</v>
      </c>
      <c r="N316" s="3" t="str">
        <f t="shared" si="40"/>
        <v>2013,11,3</v>
      </c>
      <c r="O316" t="s">
        <v>21</v>
      </c>
      <c r="P316">
        <f t="shared" si="48"/>
        <v>5.9333333333333336</v>
      </c>
      <c r="Q316" s="6">
        <f t="shared" si="47"/>
        <v>31.900000000000002</v>
      </c>
      <c r="R316" s="7"/>
      <c r="S316" s="7"/>
      <c r="T316" s="7" t="str">
        <f t="shared" si="41"/>
        <v/>
      </c>
      <c r="U316" s="7"/>
      <c r="V316">
        <f t="shared" si="44"/>
        <v>0</v>
      </c>
      <c r="W316" s="3">
        <f t="shared" si="45"/>
        <v>0</v>
      </c>
      <c r="X316" s="3">
        <f t="shared" si="46"/>
        <v>0</v>
      </c>
    </row>
    <row r="317" spans="9:24" x14ac:dyDescent="0.2">
      <c r="I317" s="2" t="s">
        <v>78</v>
      </c>
      <c r="J317" s="4">
        <v>266</v>
      </c>
      <c r="K317" s="5">
        <v>2013</v>
      </c>
      <c r="L317" s="5">
        <v>11</v>
      </c>
      <c r="M317" s="5">
        <v>3</v>
      </c>
      <c r="N317" s="3" t="str">
        <f t="shared" si="40"/>
        <v>2013,11,3</v>
      </c>
      <c r="O317" t="s">
        <v>21</v>
      </c>
      <c r="P317">
        <f t="shared" si="48"/>
        <v>4.4333333333333336</v>
      </c>
      <c r="Q317" s="6">
        <f t="shared" si="47"/>
        <v>36.333333333333336</v>
      </c>
      <c r="R317" s="7">
        <v>0.73958333333333337</v>
      </c>
      <c r="S317" s="7">
        <f t="shared" si="42"/>
        <v>0.73958333333333326</v>
      </c>
      <c r="T317" s="7">
        <f t="shared" si="41"/>
        <v>0.76458333333333339</v>
      </c>
      <c r="U317" s="7">
        <f t="shared" si="43"/>
        <v>0.76041666666666663</v>
      </c>
      <c r="V317">
        <f t="shared" si="44"/>
        <v>17</v>
      </c>
      <c r="W317" s="3">
        <f t="shared" si="45"/>
        <v>0.75</v>
      </c>
      <c r="X317" s="3">
        <f t="shared" si="46"/>
        <v>17.75</v>
      </c>
    </row>
    <row r="318" spans="9:24" x14ac:dyDescent="0.2">
      <c r="I318" s="2"/>
      <c r="J318" s="4">
        <v>925</v>
      </c>
      <c r="K318" s="5">
        <v>2013</v>
      </c>
      <c r="L318" s="5">
        <v>11</v>
      </c>
      <c r="M318" s="5">
        <v>6</v>
      </c>
      <c r="N318" s="3" t="str">
        <f t="shared" si="40"/>
        <v>2013,11,6</v>
      </c>
      <c r="O318" t="s">
        <v>19</v>
      </c>
      <c r="P318">
        <f t="shared" si="48"/>
        <v>15.416666666666666</v>
      </c>
      <c r="Q318" s="6">
        <f t="shared" si="47"/>
        <v>15.416666666666666</v>
      </c>
      <c r="R318" s="7"/>
      <c r="S318" s="7"/>
      <c r="T318" s="7" t="str">
        <f t="shared" si="41"/>
        <v/>
      </c>
      <c r="U318" s="7"/>
      <c r="V318">
        <f t="shared" si="44"/>
        <v>0</v>
      </c>
      <c r="W318" s="3">
        <f t="shared" si="45"/>
        <v>0</v>
      </c>
      <c r="X318" s="3">
        <f t="shared" si="46"/>
        <v>0</v>
      </c>
    </row>
    <row r="319" spans="9:24" x14ac:dyDescent="0.2">
      <c r="I319" s="2"/>
      <c r="J319" s="4">
        <v>1042</v>
      </c>
      <c r="K319" s="5">
        <v>2013</v>
      </c>
      <c r="L319" s="5">
        <v>11</v>
      </c>
      <c r="M319" s="5">
        <v>6</v>
      </c>
      <c r="N319" s="3" t="str">
        <f t="shared" si="40"/>
        <v>2013,11,6</v>
      </c>
      <c r="O319" t="s">
        <v>19</v>
      </c>
      <c r="P319">
        <f t="shared" si="48"/>
        <v>17.366666666666667</v>
      </c>
      <c r="Q319" s="6">
        <f t="shared" si="47"/>
        <v>32.783333333333331</v>
      </c>
      <c r="R319" s="7"/>
      <c r="S319" s="7"/>
      <c r="T319" s="7" t="str">
        <f t="shared" si="41"/>
        <v/>
      </c>
      <c r="U319" s="7"/>
      <c r="V319">
        <f t="shared" si="44"/>
        <v>0</v>
      </c>
      <c r="W319" s="3">
        <f t="shared" si="45"/>
        <v>0</v>
      </c>
      <c r="X319" s="3">
        <f t="shared" si="46"/>
        <v>0</v>
      </c>
    </row>
    <row r="320" spans="9:24" x14ac:dyDescent="0.2">
      <c r="I320" s="2"/>
      <c r="J320" s="4">
        <v>664</v>
      </c>
      <c r="K320" s="5">
        <v>2013</v>
      </c>
      <c r="L320" s="5">
        <v>11</v>
      </c>
      <c r="M320" s="5">
        <v>6</v>
      </c>
      <c r="N320" s="3" t="str">
        <f t="shared" si="40"/>
        <v>2013,11,6</v>
      </c>
      <c r="O320" t="s">
        <v>19</v>
      </c>
      <c r="P320">
        <f t="shared" si="48"/>
        <v>11.066666666666666</v>
      </c>
      <c r="Q320" s="6">
        <f t="shared" si="47"/>
        <v>43.849999999999994</v>
      </c>
      <c r="R320" s="7"/>
      <c r="S320" s="7"/>
      <c r="T320" s="7" t="str">
        <f t="shared" si="41"/>
        <v/>
      </c>
      <c r="U320" s="7"/>
      <c r="V320">
        <f t="shared" si="44"/>
        <v>0</v>
      </c>
      <c r="W320" s="3">
        <f t="shared" si="45"/>
        <v>0</v>
      </c>
      <c r="X320" s="3">
        <f t="shared" si="46"/>
        <v>0</v>
      </c>
    </row>
    <row r="321" spans="9:24" x14ac:dyDescent="0.2">
      <c r="I321" s="2"/>
      <c r="J321" s="4">
        <v>373</v>
      </c>
      <c r="K321" s="5">
        <v>2013</v>
      </c>
      <c r="L321" s="5">
        <v>11</v>
      </c>
      <c r="M321" s="5">
        <v>6</v>
      </c>
      <c r="N321" s="3" t="str">
        <f t="shared" si="40"/>
        <v>2013,11,6</v>
      </c>
      <c r="O321" t="s">
        <v>19</v>
      </c>
      <c r="P321">
        <f t="shared" si="48"/>
        <v>6.2166666666666668</v>
      </c>
      <c r="Q321" s="6">
        <f t="shared" si="47"/>
        <v>50.066666666666663</v>
      </c>
      <c r="R321" s="7"/>
      <c r="S321" s="7"/>
      <c r="T321" s="7" t="str">
        <f t="shared" si="41"/>
        <v/>
      </c>
      <c r="U321" s="7"/>
      <c r="V321">
        <f t="shared" si="44"/>
        <v>0</v>
      </c>
      <c r="W321" s="3">
        <f t="shared" si="45"/>
        <v>0</v>
      </c>
      <c r="X321" s="3">
        <f t="shared" si="46"/>
        <v>0</v>
      </c>
    </row>
    <row r="322" spans="9:24" x14ac:dyDescent="0.2">
      <c r="I322" s="2"/>
      <c r="J322" s="4">
        <v>1593</v>
      </c>
      <c r="K322" s="5">
        <v>2013</v>
      </c>
      <c r="L322" s="5">
        <v>11</v>
      </c>
      <c r="M322" s="5">
        <v>6</v>
      </c>
      <c r="N322" s="3" t="str">
        <f t="shared" si="40"/>
        <v>2013,11,6</v>
      </c>
      <c r="O322" t="s">
        <v>19</v>
      </c>
      <c r="P322">
        <f t="shared" si="48"/>
        <v>26.55</v>
      </c>
      <c r="Q322" s="6">
        <f t="shared" si="47"/>
        <v>76.61666666666666</v>
      </c>
      <c r="R322" s="7"/>
      <c r="S322" s="7"/>
      <c r="T322" s="7" t="str">
        <f t="shared" si="41"/>
        <v/>
      </c>
      <c r="U322" s="7"/>
      <c r="V322">
        <f t="shared" si="44"/>
        <v>0</v>
      </c>
      <c r="W322" s="3">
        <f t="shared" si="45"/>
        <v>0</v>
      </c>
      <c r="X322" s="3">
        <f t="shared" si="46"/>
        <v>0</v>
      </c>
    </row>
    <row r="323" spans="9:24" x14ac:dyDescent="0.2">
      <c r="I323" s="2" t="s">
        <v>79</v>
      </c>
      <c r="J323" s="4">
        <v>2</v>
      </c>
      <c r="K323" s="5">
        <v>2013</v>
      </c>
      <c r="L323" s="5">
        <v>11</v>
      </c>
      <c r="M323" s="5">
        <v>6</v>
      </c>
      <c r="N323" s="3" t="str">
        <f t="shared" ref="N323:N386" si="49">K323&amp;","&amp;L323&amp;","&amp;M323</f>
        <v>2013,11,6</v>
      </c>
      <c r="O323" t="s">
        <v>19</v>
      </c>
      <c r="P323">
        <f t="shared" si="48"/>
        <v>3.3333333333333333E-2</v>
      </c>
      <c r="Q323" s="6">
        <f t="shared" si="47"/>
        <v>76.649999999999991</v>
      </c>
      <c r="R323" s="7">
        <v>0.28055555555555556</v>
      </c>
      <c r="S323" s="7">
        <f t="shared" si="42"/>
        <v>0.27083333333333331</v>
      </c>
      <c r="T323" s="7">
        <f t="shared" ref="T323:T386" si="50">IF(ISBLANK(R323),"",R323+TIME(0,Q323,0))</f>
        <v>0.33333333333333331</v>
      </c>
      <c r="U323" s="7">
        <f t="shared" si="43"/>
        <v>0.33333333333333331</v>
      </c>
      <c r="V323">
        <f t="shared" si="44"/>
        <v>6</v>
      </c>
      <c r="W323" s="3">
        <f t="shared" si="45"/>
        <v>0.73333333333333328</v>
      </c>
      <c r="X323" s="3">
        <f t="shared" si="46"/>
        <v>6.7333333333333334</v>
      </c>
    </row>
    <row r="324" spans="9:24" x14ac:dyDescent="0.2">
      <c r="I324" s="2"/>
      <c r="J324" s="4">
        <v>389</v>
      </c>
      <c r="K324" s="5">
        <v>2013</v>
      </c>
      <c r="L324" s="5">
        <v>11</v>
      </c>
      <c r="M324" s="5">
        <v>10</v>
      </c>
      <c r="N324" s="3" t="str">
        <f t="shared" si="49"/>
        <v>2013,11,10</v>
      </c>
      <c r="O324" t="s">
        <v>21</v>
      </c>
      <c r="P324">
        <f t="shared" si="48"/>
        <v>6.4833333333333334</v>
      </c>
      <c r="Q324" s="6">
        <f t="shared" si="47"/>
        <v>6.4833333333333334</v>
      </c>
      <c r="R324" s="7"/>
      <c r="S324" s="7"/>
      <c r="T324" s="7" t="str">
        <f t="shared" si="50"/>
        <v/>
      </c>
      <c r="U324" s="7"/>
      <c r="V324">
        <f t="shared" ref="V324:V387" si="51">HOUR(R324)</f>
        <v>0</v>
      </c>
      <c r="W324" s="3">
        <f t="shared" ref="W324:W387" si="52">MINUTE(R324)/60</f>
        <v>0</v>
      </c>
      <c r="X324" s="3">
        <f t="shared" ref="X324:X387" si="53">V324+W324</f>
        <v>0</v>
      </c>
    </row>
    <row r="325" spans="9:24" x14ac:dyDescent="0.2">
      <c r="I325" s="2"/>
      <c r="J325" s="4">
        <v>604</v>
      </c>
      <c r="K325" s="5">
        <v>2013</v>
      </c>
      <c r="L325" s="5">
        <v>11</v>
      </c>
      <c r="M325" s="5">
        <v>10</v>
      </c>
      <c r="N325" s="3" t="str">
        <f t="shared" si="49"/>
        <v>2013,11,10</v>
      </c>
      <c r="O325" t="s">
        <v>21</v>
      </c>
      <c r="P325">
        <f t="shared" si="48"/>
        <v>10.066666666666666</v>
      </c>
      <c r="Q325" s="6">
        <f t="shared" si="47"/>
        <v>16.55</v>
      </c>
      <c r="R325" s="7"/>
      <c r="S325" s="7"/>
      <c r="T325" s="7" t="str">
        <f t="shared" si="50"/>
        <v/>
      </c>
      <c r="U325" s="7"/>
      <c r="V325">
        <f t="shared" si="51"/>
        <v>0</v>
      </c>
      <c r="W325" s="3">
        <f t="shared" si="52"/>
        <v>0</v>
      </c>
      <c r="X325" s="3">
        <f t="shared" si="53"/>
        <v>0</v>
      </c>
    </row>
    <row r="326" spans="9:24" x14ac:dyDescent="0.2">
      <c r="I326" s="2"/>
      <c r="J326" s="4">
        <v>172</v>
      </c>
      <c r="K326" s="5">
        <v>2013</v>
      </c>
      <c r="L326" s="5">
        <v>11</v>
      </c>
      <c r="M326" s="5">
        <v>10</v>
      </c>
      <c r="N326" s="3" t="str">
        <f t="shared" si="49"/>
        <v>2013,11,10</v>
      </c>
      <c r="O326" t="s">
        <v>21</v>
      </c>
      <c r="P326">
        <f t="shared" si="48"/>
        <v>2.8666666666666667</v>
      </c>
      <c r="Q326" s="6">
        <f t="shared" si="47"/>
        <v>19.416666666666668</v>
      </c>
      <c r="R326" s="7"/>
      <c r="S326" s="7"/>
      <c r="T326" s="7" t="str">
        <f t="shared" si="50"/>
        <v/>
      </c>
      <c r="U326" s="7"/>
      <c r="V326">
        <f t="shared" si="51"/>
        <v>0</v>
      </c>
      <c r="W326" s="3">
        <f t="shared" si="52"/>
        <v>0</v>
      </c>
      <c r="X326" s="3">
        <f t="shared" si="53"/>
        <v>0</v>
      </c>
    </row>
    <row r="327" spans="9:24" x14ac:dyDescent="0.2">
      <c r="I327" s="2"/>
      <c r="J327" s="4">
        <v>343</v>
      </c>
      <c r="K327" s="5">
        <v>2013</v>
      </c>
      <c r="L327" s="5">
        <v>11</v>
      </c>
      <c r="M327" s="5">
        <v>10</v>
      </c>
      <c r="N327" s="3" t="str">
        <f t="shared" si="49"/>
        <v>2013,11,10</v>
      </c>
      <c r="O327" t="s">
        <v>21</v>
      </c>
      <c r="P327">
        <f t="shared" si="48"/>
        <v>5.7166666666666668</v>
      </c>
      <c r="Q327" s="6">
        <f t="shared" si="47"/>
        <v>25.133333333333333</v>
      </c>
      <c r="R327" s="7"/>
      <c r="S327" s="7"/>
      <c r="T327" s="7" t="str">
        <f t="shared" si="50"/>
        <v/>
      </c>
      <c r="U327" s="7"/>
      <c r="V327">
        <f t="shared" si="51"/>
        <v>0</v>
      </c>
      <c r="W327" s="3">
        <f t="shared" si="52"/>
        <v>0</v>
      </c>
      <c r="X327" s="3">
        <f t="shared" si="53"/>
        <v>0</v>
      </c>
    </row>
    <row r="328" spans="9:24" x14ac:dyDescent="0.2">
      <c r="I328" s="2"/>
      <c r="J328" s="4">
        <v>465</v>
      </c>
      <c r="K328" s="5">
        <v>2013</v>
      </c>
      <c r="L328" s="5">
        <v>11</v>
      </c>
      <c r="M328" s="5">
        <v>10</v>
      </c>
      <c r="N328" s="3" t="str">
        <f t="shared" si="49"/>
        <v>2013,11,10</v>
      </c>
      <c r="O328" t="s">
        <v>21</v>
      </c>
      <c r="P328">
        <f t="shared" si="48"/>
        <v>7.75</v>
      </c>
      <c r="Q328" s="6">
        <f t="shared" si="47"/>
        <v>32.883333333333333</v>
      </c>
      <c r="R328" s="7"/>
      <c r="S328" s="7"/>
      <c r="T328" s="7" t="str">
        <f t="shared" si="50"/>
        <v/>
      </c>
      <c r="U328" s="7"/>
      <c r="V328">
        <f t="shared" si="51"/>
        <v>0</v>
      </c>
      <c r="W328" s="3">
        <f t="shared" si="52"/>
        <v>0</v>
      </c>
      <c r="X328" s="3">
        <f t="shared" si="53"/>
        <v>0</v>
      </c>
    </row>
    <row r="329" spans="9:24" x14ac:dyDescent="0.2">
      <c r="I329" s="2"/>
      <c r="J329" s="4">
        <v>303</v>
      </c>
      <c r="K329" s="5">
        <v>2013</v>
      </c>
      <c r="L329" s="5">
        <v>11</v>
      </c>
      <c r="M329" s="5">
        <v>10</v>
      </c>
      <c r="N329" s="3" t="str">
        <f t="shared" si="49"/>
        <v>2013,11,10</v>
      </c>
      <c r="O329" t="s">
        <v>21</v>
      </c>
      <c r="P329">
        <f t="shared" si="48"/>
        <v>5.05</v>
      </c>
      <c r="Q329" s="6">
        <f t="shared" si="47"/>
        <v>37.93333333333333</v>
      </c>
      <c r="R329" s="7"/>
      <c r="S329" s="7"/>
      <c r="T329" s="7" t="str">
        <f t="shared" si="50"/>
        <v/>
      </c>
      <c r="U329" s="7"/>
      <c r="V329">
        <f t="shared" si="51"/>
        <v>0</v>
      </c>
      <c r="W329" s="3">
        <f t="shared" si="52"/>
        <v>0</v>
      </c>
      <c r="X329" s="3">
        <f t="shared" si="53"/>
        <v>0</v>
      </c>
    </row>
    <row r="330" spans="9:24" x14ac:dyDescent="0.2">
      <c r="I330" s="2" t="s">
        <v>80</v>
      </c>
      <c r="J330" s="4">
        <v>797</v>
      </c>
      <c r="K330" s="5">
        <v>2013</v>
      </c>
      <c r="L330" s="5">
        <v>11</v>
      </c>
      <c r="M330" s="5">
        <v>10</v>
      </c>
      <c r="N330" s="3" t="str">
        <f t="shared" si="49"/>
        <v>2013,11,10</v>
      </c>
      <c r="O330" t="s">
        <v>21</v>
      </c>
      <c r="P330">
        <f t="shared" si="48"/>
        <v>13.283333333333333</v>
      </c>
      <c r="Q330" s="6">
        <f t="shared" si="47"/>
        <v>51.216666666666661</v>
      </c>
      <c r="R330" s="7">
        <v>0.72291666666666676</v>
      </c>
      <c r="S330" s="7">
        <f t="shared" ref="S330:S385" si="54">FLOOR(R330,"0:15")</f>
        <v>0.71875</v>
      </c>
      <c r="T330" s="7">
        <f t="shared" si="50"/>
        <v>0.75833333333333341</v>
      </c>
      <c r="U330" s="7">
        <f t="shared" ref="U330:U385" si="55">FLOOR(T330,"0:15")</f>
        <v>0.75</v>
      </c>
      <c r="V330">
        <f t="shared" si="51"/>
        <v>17</v>
      </c>
      <c r="W330" s="3">
        <f t="shared" si="52"/>
        <v>0.35</v>
      </c>
      <c r="X330" s="3">
        <f t="shared" si="53"/>
        <v>17.350000000000001</v>
      </c>
    </row>
    <row r="331" spans="9:24" x14ac:dyDescent="0.2">
      <c r="I331" s="2"/>
      <c r="J331" s="4">
        <v>160</v>
      </c>
      <c r="K331" s="5">
        <v>2013</v>
      </c>
      <c r="L331" s="5">
        <v>11</v>
      </c>
      <c r="M331" s="5">
        <v>13</v>
      </c>
      <c r="N331" s="3" t="str">
        <f t="shared" si="49"/>
        <v>2013,11,13</v>
      </c>
      <c r="O331" t="s">
        <v>19</v>
      </c>
      <c r="P331">
        <f t="shared" si="48"/>
        <v>2.6666666666666665</v>
      </c>
      <c r="Q331" s="6">
        <f t="shared" si="47"/>
        <v>2.6666666666666665</v>
      </c>
      <c r="R331" s="7"/>
      <c r="S331" s="7"/>
      <c r="T331" s="7" t="str">
        <f t="shared" si="50"/>
        <v/>
      </c>
      <c r="U331" s="7"/>
      <c r="V331">
        <f t="shared" si="51"/>
        <v>0</v>
      </c>
      <c r="W331" s="3">
        <f t="shared" si="52"/>
        <v>0</v>
      </c>
      <c r="X331" s="3">
        <f t="shared" si="53"/>
        <v>0</v>
      </c>
    </row>
    <row r="332" spans="9:24" x14ac:dyDescent="0.2">
      <c r="I332" s="2"/>
      <c r="J332" s="4">
        <v>393</v>
      </c>
      <c r="K332" s="5">
        <v>2013</v>
      </c>
      <c r="L332" s="5">
        <v>11</v>
      </c>
      <c r="M332" s="5">
        <v>13</v>
      </c>
      <c r="N332" s="3" t="str">
        <f t="shared" si="49"/>
        <v>2013,11,13</v>
      </c>
      <c r="O332" t="s">
        <v>19</v>
      </c>
      <c r="P332">
        <f t="shared" si="48"/>
        <v>6.55</v>
      </c>
      <c r="Q332" s="6">
        <f t="shared" si="47"/>
        <v>9.2166666666666668</v>
      </c>
      <c r="R332" s="7"/>
      <c r="S332" s="7"/>
      <c r="T332" s="7" t="str">
        <f t="shared" si="50"/>
        <v/>
      </c>
      <c r="U332" s="7"/>
      <c r="V332">
        <f t="shared" si="51"/>
        <v>0</v>
      </c>
      <c r="W332" s="3">
        <f t="shared" si="52"/>
        <v>0</v>
      </c>
      <c r="X332" s="3">
        <f t="shared" si="53"/>
        <v>0</v>
      </c>
    </row>
    <row r="333" spans="9:24" x14ac:dyDescent="0.2">
      <c r="I333" s="2"/>
      <c r="J333" s="4">
        <v>978</v>
      </c>
      <c r="K333" s="5">
        <v>2013</v>
      </c>
      <c r="L333" s="5">
        <v>11</v>
      </c>
      <c r="M333" s="5">
        <v>13</v>
      </c>
      <c r="N333" s="3" t="str">
        <f t="shared" si="49"/>
        <v>2013,11,13</v>
      </c>
      <c r="O333" t="s">
        <v>19</v>
      </c>
      <c r="P333">
        <f t="shared" si="48"/>
        <v>16.3</v>
      </c>
      <c r="Q333" s="6">
        <f t="shared" si="47"/>
        <v>25.516666666666666</v>
      </c>
      <c r="R333" s="7"/>
      <c r="S333" s="7"/>
      <c r="T333" s="7" t="str">
        <f t="shared" si="50"/>
        <v/>
      </c>
      <c r="U333" s="7"/>
      <c r="V333">
        <f t="shared" si="51"/>
        <v>0</v>
      </c>
      <c r="W333" s="3">
        <f t="shared" si="52"/>
        <v>0</v>
      </c>
      <c r="X333" s="3">
        <f t="shared" si="53"/>
        <v>0</v>
      </c>
    </row>
    <row r="334" spans="9:24" x14ac:dyDescent="0.2">
      <c r="I334" s="2"/>
      <c r="J334" s="4">
        <v>1120</v>
      </c>
      <c r="K334" s="5">
        <v>2013</v>
      </c>
      <c r="L334" s="5">
        <v>11</v>
      </c>
      <c r="M334" s="5">
        <v>13</v>
      </c>
      <c r="N334" s="3" t="str">
        <f t="shared" si="49"/>
        <v>2013,11,13</v>
      </c>
      <c r="O334" t="s">
        <v>19</v>
      </c>
      <c r="P334">
        <f t="shared" si="48"/>
        <v>18.666666666666668</v>
      </c>
      <c r="Q334" s="6">
        <f t="shared" si="47"/>
        <v>44.183333333333337</v>
      </c>
      <c r="R334" s="7"/>
      <c r="S334" s="7"/>
      <c r="T334" s="7" t="str">
        <f t="shared" si="50"/>
        <v/>
      </c>
      <c r="U334" s="7"/>
      <c r="V334">
        <f t="shared" si="51"/>
        <v>0</v>
      </c>
      <c r="W334" s="3">
        <f t="shared" si="52"/>
        <v>0</v>
      </c>
      <c r="X334" s="3">
        <f t="shared" si="53"/>
        <v>0</v>
      </c>
    </row>
    <row r="335" spans="9:24" x14ac:dyDescent="0.2">
      <c r="I335" s="2"/>
      <c r="J335" s="4">
        <v>632</v>
      </c>
      <c r="K335" s="5">
        <v>2013</v>
      </c>
      <c r="L335" s="5">
        <v>11</v>
      </c>
      <c r="M335" s="5">
        <v>13</v>
      </c>
      <c r="N335" s="3" t="str">
        <f t="shared" si="49"/>
        <v>2013,11,13</v>
      </c>
      <c r="O335" t="s">
        <v>19</v>
      </c>
      <c r="P335">
        <f t="shared" si="48"/>
        <v>10.533333333333333</v>
      </c>
      <c r="Q335" s="6">
        <f t="shared" si="47"/>
        <v>54.716666666666669</v>
      </c>
      <c r="R335" s="7"/>
      <c r="S335" s="7"/>
      <c r="T335" s="7" t="str">
        <f t="shared" si="50"/>
        <v/>
      </c>
      <c r="U335" s="7"/>
      <c r="V335">
        <f t="shared" si="51"/>
        <v>0</v>
      </c>
      <c r="W335" s="3">
        <f t="shared" si="52"/>
        <v>0</v>
      </c>
      <c r="X335" s="3">
        <f t="shared" si="53"/>
        <v>0</v>
      </c>
    </row>
    <row r="336" spans="9:24" x14ac:dyDescent="0.2">
      <c r="I336" s="2"/>
      <c r="J336" s="4">
        <v>99</v>
      </c>
      <c r="K336" s="5">
        <v>2013</v>
      </c>
      <c r="L336" s="5">
        <v>11</v>
      </c>
      <c r="M336" s="5">
        <v>13</v>
      </c>
      <c r="N336" s="3" t="str">
        <f t="shared" si="49"/>
        <v>2013,11,13</v>
      </c>
      <c r="O336" t="s">
        <v>19</v>
      </c>
      <c r="P336">
        <f t="shared" si="48"/>
        <v>1.65</v>
      </c>
      <c r="Q336" s="6">
        <f t="shared" si="47"/>
        <v>56.366666666666667</v>
      </c>
      <c r="R336" s="7"/>
      <c r="S336" s="7"/>
      <c r="T336" s="7" t="str">
        <f t="shared" si="50"/>
        <v/>
      </c>
      <c r="U336" s="7"/>
      <c r="V336">
        <f t="shared" si="51"/>
        <v>0</v>
      </c>
      <c r="W336" s="3">
        <f t="shared" si="52"/>
        <v>0</v>
      </c>
      <c r="X336" s="3">
        <f t="shared" si="53"/>
        <v>0</v>
      </c>
    </row>
    <row r="337" spans="9:24" x14ac:dyDescent="0.2">
      <c r="I337" s="2" t="s">
        <v>81</v>
      </c>
      <c r="J337" s="4">
        <v>724</v>
      </c>
      <c r="K337" s="5">
        <v>2013</v>
      </c>
      <c r="L337" s="5">
        <v>11</v>
      </c>
      <c r="M337" s="5">
        <v>13</v>
      </c>
      <c r="N337" s="3" t="str">
        <f t="shared" si="49"/>
        <v>2013,11,13</v>
      </c>
      <c r="O337" t="s">
        <v>19</v>
      </c>
      <c r="P337">
        <f t="shared" si="48"/>
        <v>12.066666666666666</v>
      </c>
      <c r="Q337" s="6">
        <f t="shared" si="47"/>
        <v>68.433333333333337</v>
      </c>
      <c r="R337" s="7">
        <v>0.29305555555555557</v>
      </c>
      <c r="S337" s="7">
        <f t="shared" si="54"/>
        <v>0.29166666666666663</v>
      </c>
      <c r="T337" s="7">
        <f t="shared" si="50"/>
        <v>0.34027777777777779</v>
      </c>
      <c r="U337" s="7">
        <f t="shared" si="55"/>
        <v>0.33333333333333331</v>
      </c>
      <c r="V337">
        <f t="shared" si="51"/>
        <v>7</v>
      </c>
      <c r="W337" s="3">
        <f t="shared" si="52"/>
        <v>3.3333333333333333E-2</v>
      </c>
      <c r="X337" s="3">
        <f t="shared" si="53"/>
        <v>7.0333333333333332</v>
      </c>
    </row>
    <row r="338" spans="9:24" x14ac:dyDescent="0.2">
      <c r="I338" s="2"/>
      <c r="J338" s="4">
        <v>390</v>
      </c>
      <c r="K338" s="5">
        <v>2013</v>
      </c>
      <c r="L338" s="5">
        <v>11</v>
      </c>
      <c r="M338" s="5">
        <v>17</v>
      </c>
      <c r="N338" s="3" t="str">
        <f t="shared" si="49"/>
        <v>2013,11,17</v>
      </c>
      <c r="O338" t="s">
        <v>21</v>
      </c>
      <c r="P338">
        <f t="shared" si="48"/>
        <v>6.5</v>
      </c>
      <c r="Q338" s="6">
        <f t="shared" si="47"/>
        <v>6.5</v>
      </c>
      <c r="R338" s="7"/>
      <c r="S338" s="7"/>
      <c r="T338" s="7" t="str">
        <f t="shared" si="50"/>
        <v/>
      </c>
      <c r="U338" s="7"/>
      <c r="V338">
        <f t="shared" si="51"/>
        <v>0</v>
      </c>
      <c r="W338" s="3">
        <f t="shared" si="52"/>
        <v>0</v>
      </c>
      <c r="X338" s="3">
        <f t="shared" si="53"/>
        <v>0</v>
      </c>
    </row>
    <row r="339" spans="9:24" x14ac:dyDescent="0.2">
      <c r="I339" s="2"/>
      <c r="J339" s="4">
        <v>822</v>
      </c>
      <c r="K339" s="5">
        <v>2013</v>
      </c>
      <c r="L339" s="5">
        <v>11</v>
      </c>
      <c r="M339" s="5">
        <v>17</v>
      </c>
      <c r="N339" s="3" t="str">
        <f t="shared" si="49"/>
        <v>2013,11,17</v>
      </c>
      <c r="O339" t="s">
        <v>21</v>
      </c>
      <c r="P339">
        <f t="shared" si="48"/>
        <v>13.7</v>
      </c>
      <c r="Q339" s="6">
        <f t="shared" si="47"/>
        <v>20.2</v>
      </c>
      <c r="R339" s="7"/>
      <c r="S339" s="7"/>
      <c r="T339" s="7" t="str">
        <f t="shared" si="50"/>
        <v/>
      </c>
      <c r="U339" s="7"/>
      <c r="V339">
        <f t="shared" si="51"/>
        <v>0</v>
      </c>
      <c r="W339" s="3">
        <f t="shared" si="52"/>
        <v>0</v>
      </c>
      <c r="X339" s="3">
        <f t="shared" si="53"/>
        <v>0</v>
      </c>
    </row>
    <row r="340" spans="9:24" x14ac:dyDescent="0.2">
      <c r="I340" s="2"/>
      <c r="J340" s="4">
        <v>364</v>
      </c>
      <c r="K340" s="5">
        <v>2013</v>
      </c>
      <c r="L340" s="5">
        <v>11</v>
      </c>
      <c r="M340" s="5">
        <v>17</v>
      </c>
      <c r="N340" s="3" t="str">
        <f t="shared" si="49"/>
        <v>2013,11,17</v>
      </c>
      <c r="O340" t="s">
        <v>21</v>
      </c>
      <c r="P340">
        <f t="shared" si="48"/>
        <v>6.0666666666666664</v>
      </c>
      <c r="Q340" s="6">
        <f t="shared" si="47"/>
        <v>26.266666666666666</v>
      </c>
      <c r="R340" s="7"/>
      <c r="S340" s="7"/>
      <c r="T340" s="7" t="str">
        <f t="shared" si="50"/>
        <v/>
      </c>
      <c r="U340" s="7"/>
      <c r="V340">
        <f t="shared" si="51"/>
        <v>0</v>
      </c>
      <c r="W340" s="3">
        <f t="shared" si="52"/>
        <v>0</v>
      </c>
      <c r="X340" s="3">
        <f t="shared" si="53"/>
        <v>0</v>
      </c>
    </row>
    <row r="341" spans="9:24" x14ac:dyDescent="0.2">
      <c r="I341" s="2"/>
      <c r="J341" s="4">
        <v>579</v>
      </c>
      <c r="K341" s="5">
        <v>2013</v>
      </c>
      <c r="L341" s="5">
        <v>11</v>
      </c>
      <c r="M341" s="5">
        <v>17</v>
      </c>
      <c r="N341" s="3" t="str">
        <f t="shared" si="49"/>
        <v>2013,11,17</v>
      </c>
      <c r="O341" t="s">
        <v>21</v>
      </c>
      <c r="P341">
        <f t="shared" si="48"/>
        <v>9.65</v>
      </c>
      <c r="Q341" s="6">
        <f t="shared" si="47"/>
        <v>35.916666666666664</v>
      </c>
      <c r="R341" s="7"/>
      <c r="S341" s="7"/>
      <c r="T341" s="7" t="str">
        <f t="shared" si="50"/>
        <v/>
      </c>
      <c r="U341" s="7"/>
      <c r="V341">
        <f t="shared" si="51"/>
        <v>0</v>
      </c>
      <c r="W341" s="3">
        <f t="shared" si="52"/>
        <v>0</v>
      </c>
      <c r="X341" s="3">
        <f t="shared" si="53"/>
        <v>0</v>
      </c>
    </row>
    <row r="342" spans="9:24" x14ac:dyDescent="0.2">
      <c r="I342" s="2" t="s">
        <v>82</v>
      </c>
      <c r="J342" s="4">
        <v>1108</v>
      </c>
      <c r="K342" s="5">
        <v>2013</v>
      </c>
      <c r="L342" s="5">
        <v>11</v>
      </c>
      <c r="M342" s="5">
        <v>17</v>
      </c>
      <c r="N342" s="3" t="str">
        <f t="shared" si="49"/>
        <v>2013,11,17</v>
      </c>
      <c r="O342" t="s">
        <v>21</v>
      </c>
      <c r="P342">
        <f t="shared" si="48"/>
        <v>18.466666666666665</v>
      </c>
      <c r="Q342" s="6">
        <f t="shared" si="47"/>
        <v>54.383333333333326</v>
      </c>
      <c r="R342" s="7">
        <v>0.36944444444444446</v>
      </c>
      <c r="S342" s="7">
        <f t="shared" si="54"/>
        <v>0.36458333333333331</v>
      </c>
      <c r="T342" s="7">
        <f t="shared" si="50"/>
        <v>0.40694444444444444</v>
      </c>
      <c r="U342" s="7">
        <f t="shared" si="55"/>
        <v>0.40625</v>
      </c>
      <c r="V342">
        <f t="shared" si="51"/>
        <v>8</v>
      </c>
      <c r="W342" s="3">
        <f t="shared" si="52"/>
        <v>0.8666666666666667</v>
      </c>
      <c r="X342" s="3">
        <f t="shared" si="53"/>
        <v>8.8666666666666671</v>
      </c>
    </row>
    <row r="343" spans="9:24" x14ac:dyDescent="0.2">
      <c r="I343" s="2"/>
      <c r="J343" s="4">
        <v>802</v>
      </c>
      <c r="K343" s="5">
        <v>2013</v>
      </c>
      <c r="L343" s="5">
        <v>11</v>
      </c>
      <c r="M343" s="5">
        <v>21</v>
      </c>
      <c r="N343" s="3" t="str">
        <f t="shared" si="49"/>
        <v>2013,11,21</v>
      </c>
      <c r="O343" t="s">
        <v>53</v>
      </c>
      <c r="P343">
        <f t="shared" si="48"/>
        <v>13.366666666666667</v>
      </c>
      <c r="Q343" s="6">
        <f t="shared" si="47"/>
        <v>13.366666666666667</v>
      </c>
      <c r="R343" s="7"/>
      <c r="S343" s="7"/>
      <c r="T343" s="7" t="str">
        <f t="shared" si="50"/>
        <v/>
      </c>
      <c r="U343" s="7"/>
      <c r="V343">
        <f t="shared" si="51"/>
        <v>0</v>
      </c>
      <c r="W343" s="3">
        <f t="shared" si="52"/>
        <v>0</v>
      </c>
      <c r="X343" s="3">
        <f t="shared" si="53"/>
        <v>0</v>
      </c>
    </row>
    <row r="344" spans="9:24" x14ac:dyDescent="0.2">
      <c r="I344" s="2"/>
      <c r="J344" s="4">
        <v>176</v>
      </c>
      <c r="K344" s="5">
        <v>2013</v>
      </c>
      <c r="L344" s="5">
        <v>11</v>
      </c>
      <c r="M344" s="5">
        <v>21</v>
      </c>
      <c r="N344" s="3" t="str">
        <f t="shared" si="49"/>
        <v>2013,11,21</v>
      </c>
      <c r="O344" t="s">
        <v>53</v>
      </c>
      <c r="P344">
        <f t="shared" si="48"/>
        <v>2.9333333333333331</v>
      </c>
      <c r="Q344" s="6">
        <f t="shared" si="47"/>
        <v>16.3</v>
      </c>
      <c r="R344" s="7"/>
      <c r="S344" s="7"/>
      <c r="T344" s="7" t="str">
        <f t="shared" si="50"/>
        <v/>
      </c>
      <c r="U344" s="7"/>
      <c r="V344">
        <f t="shared" si="51"/>
        <v>0</v>
      </c>
      <c r="W344" s="3">
        <f t="shared" si="52"/>
        <v>0</v>
      </c>
      <c r="X344" s="3">
        <f t="shared" si="53"/>
        <v>0</v>
      </c>
    </row>
    <row r="345" spans="9:24" x14ac:dyDescent="0.2">
      <c r="I345" s="2"/>
      <c r="J345" s="4">
        <v>655</v>
      </c>
      <c r="K345" s="5">
        <v>2013</v>
      </c>
      <c r="L345" s="5">
        <v>11</v>
      </c>
      <c r="M345" s="5">
        <v>21</v>
      </c>
      <c r="N345" s="3" t="str">
        <f t="shared" si="49"/>
        <v>2013,11,21</v>
      </c>
      <c r="O345" t="s">
        <v>53</v>
      </c>
      <c r="P345">
        <f t="shared" si="48"/>
        <v>10.916666666666666</v>
      </c>
      <c r="Q345" s="6">
        <f t="shared" si="47"/>
        <v>27.216666666666669</v>
      </c>
      <c r="R345" s="7"/>
      <c r="S345" s="7"/>
      <c r="T345" s="7" t="str">
        <f t="shared" si="50"/>
        <v/>
      </c>
      <c r="U345" s="7"/>
      <c r="V345">
        <f t="shared" si="51"/>
        <v>0</v>
      </c>
      <c r="W345" s="3">
        <f t="shared" si="52"/>
        <v>0</v>
      </c>
      <c r="X345" s="3">
        <f t="shared" si="53"/>
        <v>0</v>
      </c>
    </row>
    <row r="346" spans="9:24" x14ac:dyDescent="0.2">
      <c r="I346" s="2"/>
      <c r="J346" s="4">
        <v>275</v>
      </c>
      <c r="K346" s="5">
        <v>2013</v>
      </c>
      <c r="L346" s="5">
        <v>11</v>
      </c>
      <c r="M346" s="5">
        <v>21</v>
      </c>
      <c r="N346" s="3" t="str">
        <f t="shared" si="49"/>
        <v>2013,11,21</v>
      </c>
      <c r="O346" t="s">
        <v>53</v>
      </c>
      <c r="P346">
        <f t="shared" si="48"/>
        <v>4.583333333333333</v>
      </c>
      <c r="Q346" s="6">
        <f t="shared" si="47"/>
        <v>31.8</v>
      </c>
      <c r="R346" s="7"/>
      <c r="S346" s="7"/>
      <c r="T346" s="7" t="str">
        <f t="shared" si="50"/>
        <v/>
      </c>
      <c r="U346" s="7"/>
      <c r="V346">
        <f t="shared" si="51"/>
        <v>0</v>
      </c>
      <c r="W346" s="3">
        <f t="shared" si="52"/>
        <v>0</v>
      </c>
      <c r="X346" s="3">
        <f t="shared" si="53"/>
        <v>0</v>
      </c>
    </row>
    <row r="347" spans="9:24" x14ac:dyDescent="0.2">
      <c r="I347" s="2"/>
      <c r="J347" s="4">
        <v>783</v>
      </c>
      <c r="K347" s="5">
        <v>2013</v>
      </c>
      <c r="L347" s="5">
        <v>11</v>
      </c>
      <c r="M347" s="5">
        <v>21</v>
      </c>
      <c r="N347" s="3" t="str">
        <f t="shared" si="49"/>
        <v>2013,11,21</v>
      </c>
      <c r="O347" t="s">
        <v>53</v>
      </c>
      <c r="P347">
        <f t="shared" si="48"/>
        <v>13.05</v>
      </c>
      <c r="Q347" s="6">
        <f t="shared" si="47"/>
        <v>44.85</v>
      </c>
      <c r="R347" s="7"/>
      <c r="S347" s="7"/>
      <c r="T347" s="7" t="str">
        <f t="shared" si="50"/>
        <v/>
      </c>
      <c r="U347" s="7"/>
      <c r="V347">
        <f t="shared" si="51"/>
        <v>0</v>
      </c>
      <c r="W347" s="3">
        <f t="shared" si="52"/>
        <v>0</v>
      </c>
      <c r="X347" s="3">
        <f t="shared" si="53"/>
        <v>0</v>
      </c>
    </row>
    <row r="348" spans="9:24" x14ac:dyDescent="0.2">
      <c r="I348" s="2"/>
      <c r="J348" s="4">
        <v>407</v>
      </c>
      <c r="K348" s="5">
        <v>2013</v>
      </c>
      <c r="L348" s="5">
        <v>11</v>
      </c>
      <c r="M348" s="5">
        <v>21</v>
      </c>
      <c r="N348" s="3" t="str">
        <f t="shared" si="49"/>
        <v>2013,11,21</v>
      </c>
      <c r="O348" t="s">
        <v>53</v>
      </c>
      <c r="P348">
        <f t="shared" si="48"/>
        <v>6.7833333333333332</v>
      </c>
      <c r="Q348" s="6">
        <f t="shared" si="47"/>
        <v>51.633333333333333</v>
      </c>
      <c r="R348" s="7"/>
      <c r="S348" s="7"/>
      <c r="T348" s="7" t="str">
        <f t="shared" si="50"/>
        <v/>
      </c>
      <c r="U348" s="7"/>
      <c r="V348">
        <f t="shared" si="51"/>
        <v>0</v>
      </c>
      <c r="W348" s="3">
        <f t="shared" si="52"/>
        <v>0</v>
      </c>
      <c r="X348" s="3">
        <f t="shared" si="53"/>
        <v>0</v>
      </c>
    </row>
    <row r="349" spans="9:24" x14ac:dyDescent="0.2">
      <c r="I349" s="2" t="s">
        <v>83</v>
      </c>
      <c r="J349" s="4">
        <v>501</v>
      </c>
      <c r="K349" s="5">
        <v>2013</v>
      </c>
      <c r="L349" s="5">
        <v>11</v>
      </c>
      <c r="M349" s="5">
        <v>21</v>
      </c>
      <c r="N349" s="3" t="str">
        <f t="shared" si="49"/>
        <v>2013,11,21</v>
      </c>
      <c r="O349" t="s">
        <v>53</v>
      </c>
      <c r="P349">
        <f t="shared" si="48"/>
        <v>8.35</v>
      </c>
      <c r="Q349" s="6">
        <f t="shared" si="47"/>
        <v>59.983333333333334</v>
      </c>
      <c r="R349" s="7">
        <v>0.28125</v>
      </c>
      <c r="S349" s="7">
        <f t="shared" si="54"/>
        <v>0.28125</v>
      </c>
      <c r="T349" s="7">
        <f t="shared" si="50"/>
        <v>0.32222222222222224</v>
      </c>
      <c r="U349" s="7">
        <f t="shared" si="55"/>
        <v>0.3125</v>
      </c>
      <c r="V349">
        <f t="shared" si="51"/>
        <v>6</v>
      </c>
      <c r="W349" s="3">
        <f t="shared" si="52"/>
        <v>0.75</v>
      </c>
      <c r="X349" s="3">
        <f t="shared" si="53"/>
        <v>6.75</v>
      </c>
    </row>
    <row r="350" spans="9:24" x14ac:dyDescent="0.2">
      <c r="I350" s="2"/>
      <c r="J350" s="4">
        <v>866</v>
      </c>
      <c r="K350" s="5">
        <v>2013</v>
      </c>
      <c r="L350" s="5">
        <v>11</v>
      </c>
      <c r="M350" s="5">
        <v>23</v>
      </c>
      <c r="N350" s="3" t="str">
        <f t="shared" si="49"/>
        <v>2013,11,23</v>
      </c>
      <c r="O350" t="s">
        <v>26</v>
      </c>
      <c r="P350">
        <f t="shared" si="48"/>
        <v>14.433333333333334</v>
      </c>
      <c r="Q350" s="6">
        <f t="shared" si="47"/>
        <v>14.433333333333334</v>
      </c>
      <c r="R350" s="7"/>
      <c r="S350" s="7"/>
      <c r="T350" s="7" t="str">
        <f t="shared" si="50"/>
        <v/>
      </c>
      <c r="U350" s="7"/>
      <c r="V350">
        <f t="shared" si="51"/>
        <v>0</v>
      </c>
      <c r="W350" s="3">
        <f t="shared" si="52"/>
        <v>0</v>
      </c>
      <c r="X350" s="3">
        <f t="shared" si="53"/>
        <v>0</v>
      </c>
    </row>
    <row r="351" spans="9:24" x14ac:dyDescent="0.2">
      <c r="I351" s="2"/>
      <c r="J351" s="4">
        <v>374</v>
      </c>
      <c r="K351" s="5">
        <v>2013</v>
      </c>
      <c r="L351" s="5">
        <v>11</v>
      </c>
      <c r="M351" s="5">
        <v>23</v>
      </c>
      <c r="N351" s="3" t="str">
        <f t="shared" si="49"/>
        <v>2013,11,23</v>
      </c>
      <c r="O351" t="s">
        <v>26</v>
      </c>
      <c r="P351">
        <f t="shared" si="48"/>
        <v>6.2333333333333334</v>
      </c>
      <c r="Q351" s="6">
        <f t="shared" si="47"/>
        <v>20.666666666666668</v>
      </c>
      <c r="R351" s="7"/>
      <c r="S351" s="7"/>
      <c r="T351" s="7" t="str">
        <f t="shared" si="50"/>
        <v/>
      </c>
      <c r="U351" s="7"/>
      <c r="V351">
        <f t="shared" si="51"/>
        <v>0</v>
      </c>
      <c r="W351" s="3">
        <f t="shared" si="52"/>
        <v>0</v>
      </c>
      <c r="X351" s="3">
        <f t="shared" si="53"/>
        <v>0</v>
      </c>
    </row>
    <row r="352" spans="9:24" x14ac:dyDescent="0.2">
      <c r="I352" s="2"/>
      <c r="J352" s="4">
        <v>309</v>
      </c>
      <c r="K352" s="5">
        <v>2013</v>
      </c>
      <c r="L352" s="5">
        <v>11</v>
      </c>
      <c r="M352" s="5">
        <v>23</v>
      </c>
      <c r="N352" s="3" t="str">
        <f t="shared" si="49"/>
        <v>2013,11,23</v>
      </c>
      <c r="O352" t="s">
        <v>26</v>
      </c>
      <c r="P352">
        <f t="shared" si="48"/>
        <v>5.15</v>
      </c>
      <c r="Q352" s="6">
        <f t="shared" si="47"/>
        <v>25.81666666666667</v>
      </c>
      <c r="R352" s="7"/>
      <c r="S352" s="7"/>
      <c r="T352" s="7" t="str">
        <f t="shared" si="50"/>
        <v/>
      </c>
      <c r="U352" s="7"/>
      <c r="V352">
        <f t="shared" si="51"/>
        <v>0</v>
      </c>
      <c r="W352" s="3">
        <f t="shared" si="52"/>
        <v>0</v>
      </c>
      <c r="X352" s="3">
        <f t="shared" si="53"/>
        <v>0</v>
      </c>
    </row>
    <row r="353" spans="9:24" x14ac:dyDescent="0.2">
      <c r="I353" s="2"/>
      <c r="J353" s="4">
        <v>511</v>
      </c>
      <c r="K353" s="5">
        <v>2013</v>
      </c>
      <c r="L353" s="5">
        <v>11</v>
      </c>
      <c r="M353" s="5">
        <v>23</v>
      </c>
      <c r="N353" s="3" t="str">
        <f t="shared" si="49"/>
        <v>2013,11,23</v>
      </c>
      <c r="O353" t="s">
        <v>26</v>
      </c>
      <c r="P353">
        <f t="shared" si="48"/>
        <v>8.5166666666666675</v>
      </c>
      <c r="Q353" s="6">
        <f t="shared" si="47"/>
        <v>34.333333333333336</v>
      </c>
      <c r="R353" s="7"/>
      <c r="S353" s="7"/>
      <c r="T353" s="7" t="str">
        <f t="shared" si="50"/>
        <v/>
      </c>
      <c r="U353" s="7"/>
      <c r="V353">
        <f t="shared" si="51"/>
        <v>0</v>
      </c>
      <c r="W353" s="3">
        <f t="shared" si="52"/>
        <v>0</v>
      </c>
      <c r="X353" s="3">
        <f t="shared" si="53"/>
        <v>0</v>
      </c>
    </row>
    <row r="354" spans="9:24" x14ac:dyDescent="0.2">
      <c r="I354" s="2"/>
      <c r="J354" s="4">
        <v>486</v>
      </c>
      <c r="K354" s="5">
        <v>2013</v>
      </c>
      <c r="L354" s="5">
        <v>11</v>
      </c>
      <c r="M354" s="5">
        <v>23</v>
      </c>
      <c r="N354" s="3" t="str">
        <f t="shared" si="49"/>
        <v>2013,11,23</v>
      </c>
      <c r="O354" t="s">
        <v>26</v>
      </c>
      <c r="P354">
        <f t="shared" si="48"/>
        <v>8.1</v>
      </c>
      <c r="Q354" s="6">
        <f t="shared" ref="Q354:Q392" si="56">IF(O353=O354, Q353+P354,P354)</f>
        <v>42.433333333333337</v>
      </c>
      <c r="R354" s="7"/>
      <c r="S354" s="7"/>
      <c r="T354" s="7" t="str">
        <f t="shared" si="50"/>
        <v/>
      </c>
      <c r="U354" s="7"/>
      <c r="V354">
        <f t="shared" si="51"/>
        <v>0</v>
      </c>
      <c r="W354" s="3">
        <f t="shared" si="52"/>
        <v>0</v>
      </c>
      <c r="X354" s="3">
        <f t="shared" si="53"/>
        <v>0</v>
      </c>
    </row>
    <row r="355" spans="9:24" x14ac:dyDescent="0.2">
      <c r="I355" s="2" t="s">
        <v>84</v>
      </c>
      <c r="J355" s="4">
        <v>99</v>
      </c>
      <c r="K355" s="5">
        <v>2013</v>
      </c>
      <c r="L355" s="5">
        <v>11</v>
      </c>
      <c r="M355" s="5">
        <v>23</v>
      </c>
      <c r="N355" s="3" t="str">
        <f t="shared" si="49"/>
        <v>2013,11,23</v>
      </c>
      <c r="O355" t="s">
        <v>26</v>
      </c>
      <c r="P355">
        <f t="shared" si="48"/>
        <v>1.65</v>
      </c>
      <c r="Q355" s="6">
        <f t="shared" si="56"/>
        <v>44.083333333333336</v>
      </c>
      <c r="R355" s="7">
        <v>0.50486111111111109</v>
      </c>
      <c r="S355" s="7">
        <f t="shared" si="54"/>
        <v>0.5</v>
      </c>
      <c r="T355" s="7">
        <f t="shared" si="50"/>
        <v>0.53541666666666665</v>
      </c>
      <c r="U355" s="7">
        <f t="shared" si="55"/>
        <v>0.53125</v>
      </c>
      <c r="V355">
        <f t="shared" si="51"/>
        <v>12</v>
      </c>
      <c r="W355" s="3">
        <f t="shared" si="52"/>
        <v>0.11666666666666667</v>
      </c>
      <c r="X355" s="3">
        <f t="shared" si="53"/>
        <v>12.116666666666667</v>
      </c>
    </row>
    <row r="356" spans="9:24" x14ac:dyDescent="0.2">
      <c r="I356" s="2"/>
      <c r="J356" s="4">
        <v>445</v>
      </c>
      <c r="K356" s="5">
        <v>2013</v>
      </c>
      <c r="L356" s="5">
        <v>11</v>
      </c>
      <c r="M356" s="5">
        <v>27</v>
      </c>
      <c r="N356" s="3" t="str">
        <f t="shared" si="49"/>
        <v>2013,11,27</v>
      </c>
      <c r="O356" t="s">
        <v>19</v>
      </c>
      <c r="P356">
        <f t="shared" si="48"/>
        <v>7.416666666666667</v>
      </c>
      <c r="Q356" s="6">
        <f t="shared" si="56"/>
        <v>7.416666666666667</v>
      </c>
      <c r="R356" s="7"/>
      <c r="S356" s="7"/>
      <c r="T356" s="7" t="str">
        <f t="shared" si="50"/>
        <v/>
      </c>
      <c r="U356" s="7"/>
      <c r="V356">
        <f t="shared" si="51"/>
        <v>0</v>
      </c>
      <c r="W356" s="3">
        <f t="shared" si="52"/>
        <v>0</v>
      </c>
      <c r="X356" s="3">
        <f t="shared" si="53"/>
        <v>0</v>
      </c>
    </row>
    <row r="357" spans="9:24" x14ac:dyDescent="0.2">
      <c r="I357" s="2"/>
      <c r="J357" s="4">
        <v>450</v>
      </c>
      <c r="K357" s="5">
        <v>2013</v>
      </c>
      <c r="L357" s="5">
        <v>11</v>
      </c>
      <c r="M357" s="5">
        <v>27</v>
      </c>
      <c r="N357" s="3" t="str">
        <f t="shared" si="49"/>
        <v>2013,11,27</v>
      </c>
      <c r="O357" t="s">
        <v>19</v>
      </c>
      <c r="P357">
        <f t="shared" si="48"/>
        <v>7.5</v>
      </c>
      <c r="Q357" s="6">
        <f t="shared" si="56"/>
        <v>14.916666666666668</v>
      </c>
      <c r="R357" s="7"/>
      <c r="S357" s="7"/>
      <c r="T357" s="7" t="str">
        <f t="shared" si="50"/>
        <v/>
      </c>
      <c r="U357" s="7"/>
      <c r="V357">
        <f t="shared" si="51"/>
        <v>0</v>
      </c>
      <c r="W357" s="3">
        <f t="shared" si="52"/>
        <v>0</v>
      </c>
      <c r="X357" s="3">
        <f t="shared" si="53"/>
        <v>0</v>
      </c>
    </row>
    <row r="358" spans="9:24" x14ac:dyDescent="0.2">
      <c r="I358" s="2"/>
      <c r="J358" s="4">
        <v>718</v>
      </c>
      <c r="K358" s="5">
        <v>2013</v>
      </c>
      <c r="L358" s="5">
        <v>11</v>
      </c>
      <c r="M358" s="5">
        <v>27</v>
      </c>
      <c r="N358" s="3" t="str">
        <f t="shared" si="49"/>
        <v>2013,11,27</v>
      </c>
      <c r="O358" t="s">
        <v>19</v>
      </c>
      <c r="P358">
        <f t="shared" si="48"/>
        <v>11.966666666666667</v>
      </c>
      <c r="Q358" s="6">
        <f t="shared" si="56"/>
        <v>26.883333333333333</v>
      </c>
      <c r="R358" s="7"/>
      <c r="S358" s="7"/>
      <c r="T358" s="7" t="str">
        <f t="shared" si="50"/>
        <v/>
      </c>
      <c r="U358" s="7"/>
      <c r="V358">
        <f t="shared" si="51"/>
        <v>0</v>
      </c>
      <c r="W358" s="3">
        <f t="shared" si="52"/>
        <v>0</v>
      </c>
      <c r="X358" s="3">
        <f t="shared" si="53"/>
        <v>0</v>
      </c>
    </row>
    <row r="359" spans="9:24" x14ac:dyDescent="0.2">
      <c r="I359" s="2"/>
      <c r="J359" s="4">
        <v>743</v>
      </c>
      <c r="K359" s="5">
        <v>2013</v>
      </c>
      <c r="L359" s="5">
        <v>11</v>
      </c>
      <c r="M359" s="5">
        <v>27</v>
      </c>
      <c r="N359" s="3" t="str">
        <f t="shared" si="49"/>
        <v>2013,11,27</v>
      </c>
      <c r="O359" t="s">
        <v>19</v>
      </c>
      <c r="P359">
        <f t="shared" si="48"/>
        <v>12.383333333333333</v>
      </c>
      <c r="Q359" s="6">
        <f t="shared" si="56"/>
        <v>39.266666666666666</v>
      </c>
      <c r="R359" s="7"/>
      <c r="S359" s="7"/>
      <c r="T359" s="7" t="str">
        <f t="shared" si="50"/>
        <v/>
      </c>
      <c r="U359" s="7"/>
      <c r="V359">
        <f t="shared" si="51"/>
        <v>0</v>
      </c>
      <c r="W359" s="3">
        <f t="shared" si="52"/>
        <v>0</v>
      </c>
      <c r="X359" s="3">
        <f t="shared" si="53"/>
        <v>0</v>
      </c>
    </row>
    <row r="360" spans="9:24" x14ac:dyDescent="0.2">
      <c r="I360" s="2" t="s">
        <v>85</v>
      </c>
      <c r="J360" s="4">
        <v>1684</v>
      </c>
      <c r="K360" s="5">
        <v>2013</v>
      </c>
      <c r="L360" s="5">
        <v>11</v>
      </c>
      <c r="M360" s="5">
        <v>27</v>
      </c>
      <c r="N360" s="3" t="str">
        <f t="shared" si="49"/>
        <v>2013,11,27</v>
      </c>
      <c r="O360" t="s">
        <v>19</v>
      </c>
      <c r="P360">
        <f t="shared" si="48"/>
        <v>28.066666666666666</v>
      </c>
      <c r="Q360" s="6">
        <f t="shared" si="56"/>
        <v>67.333333333333329</v>
      </c>
      <c r="R360" s="7">
        <v>0.29305555555555557</v>
      </c>
      <c r="S360" s="7">
        <f t="shared" si="54"/>
        <v>0.29166666666666663</v>
      </c>
      <c r="T360" s="7">
        <f t="shared" si="50"/>
        <v>0.33958333333333335</v>
      </c>
      <c r="U360" s="7">
        <f t="shared" si="55"/>
        <v>0.33333333333333331</v>
      </c>
      <c r="V360">
        <f t="shared" si="51"/>
        <v>7</v>
      </c>
      <c r="W360" s="3">
        <f t="shared" si="52"/>
        <v>3.3333333333333333E-2</v>
      </c>
      <c r="X360" s="3">
        <f t="shared" si="53"/>
        <v>7.0333333333333332</v>
      </c>
    </row>
    <row r="361" spans="9:24" x14ac:dyDescent="0.2">
      <c r="I361" s="2"/>
      <c r="J361" s="4">
        <v>622</v>
      </c>
      <c r="K361" s="5">
        <v>2013</v>
      </c>
      <c r="L361" s="5">
        <v>11</v>
      </c>
      <c r="M361" s="5">
        <v>30</v>
      </c>
      <c r="N361" s="3" t="str">
        <f t="shared" si="49"/>
        <v>2013,11,30</v>
      </c>
      <c r="O361" t="s">
        <v>26</v>
      </c>
      <c r="P361">
        <f t="shared" si="48"/>
        <v>10.366666666666667</v>
      </c>
      <c r="Q361" s="6">
        <f t="shared" si="56"/>
        <v>10.366666666666667</v>
      </c>
      <c r="R361" s="7"/>
      <c r="S361" s="7"/>
      <c r="T361" s="7" t="str">
        <f t="shared" si="50"/>
        <v/>
      </c>
      <c r="U361" s="7"/>
      <c r="V361">
        <f t="shared" si="51"/>
        <v>0</v>
      </c>
      <c r="W361" s="3">
        <f t="shared" si="52"/>
        <v>0</v>
      </c>
      <c r="X361" s="3">
        <f t="shared" si="53"/>
        <v>0</v>
      </c>
    </row>
    <row r="362" spans="9:24" x14ac:dyDescent="0.2">
      <c r="I362" s="2"/>
      <c r="J362" s="4">
        <v>331</v>
      </c>
      <c r="K362" s="5">
        <v>2013</v>
      </c>
      <c r="L362" s="5">
        <v>11</v>
      </c>
      <c r="M362" s="5">
        <v>30</v>
      </c>
      <c r="N362" s="3" t="str">
        <f t="shared" si="49"/>
        <v>2013,11,30</v>
      </c>
      <c r="O362" t="s">
        <v>26</v>
      </c>
      <c r="P362">
        <f t="shared" si="48"/>
        <v>5.5166666666666666</v>
      </c>
      <c r="Q362" s="6">
        <f t="shared" si="56"/>
        <v>15.883333333333333</v>
      </c>
      <c r="R362" s="7"/>
      <c r="S362" s="7"/>
      <c r="T362" s="7" t="str">
        <f t="shared" si="50"/>
        <v/>
      </c>
      <c r="U362" s="7"/>
      <c r="V362">
        <f t="shared" si="51"/>
        <v>0</v>
      </c>
      <c r="W362" s="3">
        <f t="shared" si="52"/>
        <v>0</v>
      </c>
      <c r="X362" s="3">
        <f t="shared" si="53"/>
        <v>0</v>
      </c>
    </row>
    <row r="363" spans="9:24" x14ac:dyDescent="0.2">
      <c r="I363" s="2"/>
      <c r="J363" s="4">
        <v>230</v>
      </c>
      <c r="K363" s="5">
        <v>2013</v>
      </c>
      <c r="L363" s="5">
        <v>11</v>
      </c>
      <c r="M363" s="5">
        <v>30</v>
      </c>
      <c r="N363" s="3" t="str">
        <f t="shared" si="49"/>
        <v>2013,11,30</v>
      </c>
      <c r="O363" t="s">
        <v>26</v>
      </c>
      <c r="P363">
        <f t="shared" si="48"/>
        <v>3.8333333333333335</v>
      </c>
      <c r="Q363" s="6">
        <f t="shared" si="56"/>
        <v>19.716666666666665</v>
      </c>
      <c r="R363" s="7"/>
      <c r="S363" s="7"/>
      <c r="T363" s="7" t="str">
        <f t="shared" si="50"/>
        <v/>
      </c>
      <c r="U363" s="7"/>
      <c r="V363">
        <f t="shared" si="51"/>
        <v>0</v>
      </c>
      <c r="W363" s="3">
        <f t="shared" si="52"/>
        <v>0</v>
      </c>
      <c r="X363" s="3">
        <f t="shared" si="53"/>
        <v>0</v>
      </c>
    </row>
    <row r="364" spans="9:24" x14ac:dyDescent="0.2">
      <c r="I364" s="2"/>
      <c r="J364" s="4">
        <v>392</v>
      </c>
      <c r="K364" s="5">
        <v>2013</v>
      </c>
      <c r="L364" s="5">
        <v>11</v>
      </c>
      <c r="M364" s="5">
        <v>30</v>
      </c>
      <c r="N364" s="3" t="str">
        <f t="shared" si="49"/>
        <v>2013,11,30</v>
      </c>
      <c r="O364" t="s">
        <v>26</v>
      </c>
      <c r="P364">
        <f t="shared" si="48"/>
        <v>6.5333333333333332</v>
      </c>
      <c r="Q364" s="6">
        <f t="shared" si="56"/>
        <v>26.25</v>
      </c>
      <c r="R364" s="7"/>
      <c r="S364" s="7"/>
      <c r="T364" s="7" t="str">
        <f t="shared" si="50"/>
        <v/>
      </c>
      <c r="U364" s="7"/>
      <c r="V364">
        <f t="shared" si="51"/>
        <v>0</v>
      </c>
      <c r="W364" s="3">
        <f t="shared" si="52"/>
        <v>0</v>
      </c>
      <c r="X364" s="3">
        <f t="shared" si="53"/>
        <v>0</v>
      </c>
    </row>
    <row r="365" spans="9:24" x14ac:dyDescent="0.2">
      <c r="I365" s="2"/>
      <c r="J365" s="4">
        <v>315</v>
      </c>
      <c r="K365" s="5">
        <v>2013</v>
      </c>
      <c r="L365" s="5">
        <v>11</v>
      </c>
      <c r="M365" s="5">
        <v>30</v>
      </c>
      <c r="N365" s="3" t="str">
        <f t="shared" si="49"/>
        <v>2013,11,30</v>
      </c>
      <c r="O365" t="s">
        <v>26</v>
      </c>
      <c r="P365">
        <f t="shared" si="48"/>
        <v>5.25</v>
      </c>
      <c r="Q365" s="6">
        <f t="shared" si="56"/>
        <v>31.5</v>
      </c>
      <c r="R365" s="7"/>
      <c r="S365" s="7"/>
      <c r="T365" s="7" t="str">
        <f t="shared" si="50"/>
        <v/>
      </c>
      <c r="U365" s="7"/>
      <c r="V365">
        <f t="shared" si="51"/>
        <v>0</v>
      </c>
      <c r="W365" s="3">
        <f t="shared" si="52"/>
        <v>0</v>
      </c>
      <c r="X365" s="3">
        <f t="shared" si="53"/>
        <v>0</v>
      </c>
    </row>
    <row r="366" spans="9:24" x14ac:dyDescent="0.2">
      <c r="I366" s="2"/>
      <c r="J366" s="4">
        <v>543</v>
      </c>
      <c r="K366" s="5">
        <v>2013</v>
      </c>
      <c r="L366" s="5">
        <v>11</v>
      </c>
      <c r="M366" s="5">
        <v>30</v>
      </c>
      <c r="N366" s="3" t="str">
        <f t="shared" si="49"/>
        <v>2013,11,30</v>
      </c>
      <c r="O366" t="s">
        <v>26</v>
      </c>
      <c r="P366">
        <f t="shared" si="48"/>
        <v>9.0500000000000007</v>
      </c>
      <c r="Q366" s="6">
        <f t="shared" si="56"/>
        <v>40.549999999999997</v>
      </c>
      <c r="R366" s="7"/>
      <c r="S366" s="7"/>
      <c r="T366" s="7" t="str">
        <f t="shared" si="50"/>
        <v/>
      </c>
      <c r="U366" s="7"/>
      <c r="V366">
        <f t="shared" si="51"/>
        <v>0</v>
      </c>
      <c r="W366" s="3">
        <f t="shared" si="52"/>
        <v>0</v>
      </c>
      <c r="X366" s="3">
        <f t="shared" si="53"/>
        <v>0</v>
      </c>
    </row>
    <row r="367" spans="9:24" x14ac:dyDescent="0.2">
      <c r="I367" s="2"/>
      <c r="J367" s="4">
        <v>199</v>
      </c>
      <c r="K367" s="5">
        <v>2013</v>
      </c>
      <c r="L367" s="5">
        <v>11</v>
      </c>
      <c r="M367" s="5">
        <v>30</v>
      </c>
      <c r="N367" s="3" t="str">
        <f t="shared" si="49"/>
        <v>2013,11,30</v>
      </c>
      <c r="O367" t="s">
        <v>26</v>
      </c>
      <c r="P367">
        <f t="shared" si="48"/>
        <v>3.3166666666666669</v>
      </c>
      <c r="Q367" s="6">
        <f t="shared" si="56"/>
        <v>43.866666666666667</v>
      </c>
      <c r="R367" s="7"/>
      <c r="S367" s="7"/>
      <c r="T367" s="7" t="str">
        <f t="shared" si="50"/>
        <v/>
      </c>
      <c r="U367" s="7"/>
      <c r="V367">
        <f t="shared" si="51"/>
        <v>0</v>
      </c>
      <c r="W367" s="3">
        <f t="shared" si="52"/>
        <v>0</v>
      </c>
      <c r="X367" s="3">
        <f t="shared" si="53"/>
        <v>0</v>
      </c>
    </row>
    <row r="368" spans="9:24" x14ac:dyDescent="0.2">
      <c r="I368" s="2"/>
      <c r="J368" s="4">
        <v>111</v>
      </c>
      <c r="K368" s="5">
        <v>2013</v>
      </c>
      <c r="L368" s="5">
        <v>11</v>
      </c>
      <c r="M368" s="5">
        <v>30</v>
      </c>
      <c r="N368" s="3" t="str">
        <f t="shared" si="49"/>
        <v>2013,11,30</v>
      </c>
      <c r="O368" t="s">
        <v>26</v>
      </c>
      <c r="P368">
        <f t="shared" si="48"/>
        <v>1.85</v>
      </c>
      <c r="Q368" s="6">
        <f t="shared" si="56"/>
        <v>45.716666666666669</v>
      </c>
      <c r="R368" s="7"/>
      <c r="S368" s="7"/>
      <c r="T368" s="7" t="str">
        <f t="shared" si="50"/>
        <v/>
      </c>
      <c r="U368" s="7"/>
      <c r="V368">
        <f t="shared" si="51"/>
        <v>0</v>
      </c>
      <c r="W368" s="3">
        <f t="shared" si="52"/>
        <v>0</v>
      </c>
      <c r="X368" s="3">
        <f t="shared" si="53"/>
        <v>0</v>
      </c>
    </row>
    <row r="369" spans="9:24" x14ac:dyDescent="0.2">
      <c r="I369" s="2"/>
      <c r="J369" s="4">
        <v>267</v>
      </c>
      <c r="K369" s="5">
        <v>2013</v>
      </c>
      <c r="L369" s="5">
        <v>11</v>
      </c>
      <c r="M369" s="5">
        <v>30</v>
      </c>
      <c r="N369" s="3" t="str">
        <f t="shared" si="49"/>
        <v>2013,11,30</v>
      </c>
      <c r="O369" t="s">
        <v>26</v>
      </c>
      <c r="P369">
        <f t="shared" si="48"/>
        <v>4.45</v>
      </c>
      <c r="Q369" s="6">
        <f t="shared" si="56"/>
        <v>50.166666666666671</v>
      </c>
      <c r="R369" s="7"/>
      <c r="S369" s="7"/>
      <c r="T369" s="7" t="str">
        <f t="shared" si="50"/>
        <v/>
      </c>
      <c r="U369" s="7"/>
      <c r="V369">
        <f t="shared" si="51"/>
        <v>0</v>
      </c>
      <c r="W369" s="3">
        <f t="shared" si="52"/>
        <v>0</v>
      </c>
      <c r="X369" s="3">
        <f t="shared" si="53"/>
        <v>0</v>
      </c>
    </row>
    <row r="370" spans="9:24" x14ac:dyDescent="0.2">
      <c r="I370" s="2" t="s">
        <v>86</v>
      </c>
      <c r="J370" s="4">
        <v>104</v>
      </c>
      <c r="K370" s="5">
        <v>2013</v>
      </c>
      <c r="L370" s="5">
        <v>11</v>
      </c>
      <c r="M370" s="5">
        <v>30</v>
      </c>
      <c r="N370" s="3" t="str">
        <f t="shared" si="49"/>
        <v>2013,11,30</v>
      </c>
      <c r="O370" t="s">
        <v>26</v>
      </c>
      <c r="P370">
        <f t="shared" si="48"/>
        <v>1.7333333333333334</v>
      </c>
      <c r="Q370" s="6">
        <f t="shared" si="56"/>
        <v>51.900000000000006</v>
      </c>
      <c r="R370" s="7">
        <v>0.28194444444444444</v>
      </c>
      <c r="S370" s="7">
        <f t="shared" si="54"/>
        <v>0.28125</v>
      </c>
      <c r="T370" s="7">
        <f t="shared" si="50"/>
        <v>0.31736111111111109</v>
      </c>
      <c r="U370" s="7">
        <f t="shared" si="55"/>
        <v>0.3125</v>
      </c>
      <c r="V370">
        <f t="shared" si="51"/>
        <v>6</v>
      </c>
      <c r="W370" s="3">
        <f t="shared" si="52"/>
        <v>0.76666666666666672</v>
      </c>
      <c r="X370" s="3">
        <f t="shared" si="53"/>
        <v>6.7666666666666666</v>
      </c>
    </row>
    <row r="371" spans="9:24" x14ac:dyDescent="0.2">
      <c r="I371" s="2"/>
      <c r="J371" s="4">
        <v>744</v>
      </c>
      <c r="K371" s="5">
        <v>2013</v>
      </c>
      <c r="L371" s="5">
        <v>12</v>
      </c>
      <c r="M371" s="5">
        <v>4</v>
      </c>
      <c r="N371" s="3" t="str">
        <f t="shared" si="49"/>
        <v>2013,12,4</v>
      </c>
      <c r="O371" t="s">
        <v>19</v>
      </c>
      <c r="P371">
        <f t="shared" si="48"/>
        <v>12.4</v>
      </c>
      <c r="Q371" s="6">
        <f t="shared" si="56"/>
        <v>12.4</v>
      </c>
      <c r="R371" s="7"/>
      <c r="S371" s="7"/>
      <c r="T371" s="7" t="str">
        <f t="shared" si="50"/>
        <v/>
      </c>
      <c r="U371" s="7"/>
      <c r="V371">
        <f t="shared" si="51"/>
        <v>0</v>
      </c>
      <c r="W371" s="3">
        <f t="shared" si="52"/>
        <v>0</v>
      </c>
      <c r="X371" s="3">
        <f t="shared" si="53"/>
        <v>0</v>
      </c>
    </row>
    <row r="372" spans="9:24" x14ac:dyDescent="0.2">
      <c r="I372" s="2"/>
      <c r="J372" s="4">
        <v>827</v>
      </c>
      <c r="K372" s="5">
        <v>2013</v>
      </c>
      <c r="L372" s="5">
        <v>12</v>
      </c>
      <c r="M372" s="5">
        <v>4</v>
      </c>
      <c r="N372" s="3" t="str">
        <f t="shared" si="49"/>
        <v>2013,12,4</v>
      </c>
      <c r="O372" t="s">
        <v>19</v>
      </c>
      <c r="P372">
        <f t="shared" ref="P372:P392" si="57">J372/60</f>
        <v>13.783333333333333</v>
      </c>
      <c r="Q372" s="6">
        <f t="shared" si="56"/>
        <v>26.183333333333334</v>
      </c>
      <c r="R372" s="7"/>
      <c r="S372" s="7"/>
      <c r="T372" s="7" t="str">
        <f t="shared" si="50"/>
        <v/>
      </c>
      <c r="U372" s="7"/>
      <c r="V372">
        <f t="shared" si="51"/>
        <v>0</v>
      </c>
      <c r="W372" s="3">
        <f t="shared" si="52"/>
        <v>0</v>
      </c>
      <c r="X372" s="3">
        <f t="shared" si="53"/>
        <v>0</v>
      </c>
    </row>
    <row r="373" spans="9:24" x14ac:dyDescent="0.2">
      <c r="I373" s="2"/>
      <c r="J373" s="4">
        <v>670</v>
      </c>
      <c r="K373" s="5">
        <v>2013</v>
      </c>
      <c r="L373" s="5">
        <v>12</v>
      </c>
      <c r="M373" s="5">
        <v>4</v>
      </c>
      <c r="N373" s="3" t="str">
        <f t="shared" si="49"/>
        <v>2013,12,4</v>
      </c>
      <c r="O373" t="s">
        <v>19</v>
      </c>
      <c r="P373">
        <f t="shared" si="57"/>
        <v>11.166666666666666</v>
      </c>
      <c r="Q373" s="6">
        <f t="shared" si="56"/>
        <v>37.35</v>
      </c>
      <c r="R373" s="7"/>
      <c r="S373" s="7"/>
      <c r="T373" s="7" t="str">
        <f t="shared" si="50"/>
        <v/>
      </c>
      <c r="U373" s="7"/>
      <c r="V373">
        <f t="shared" si="51"/>
        <v>0</v>
      </c>
      <c r="W373" s="3">
        <f t="shared" si="52"/>
        <v>0</v>
      </c>
      <c r="X373" s="3">
        <f t="shared" si="53"/>
        <v>0</v>
      </c>
    </row>
    <row r="374" spans="9:24" x14ac:dyDescent="0.2">
      <c r="I374" s="2" t="s">
        <v>87</v>
      </c>
      <c r="J374" s="4">
        <v>628</v>
      </c>
      <c r="K374" s="5">
        <v>2013</v>
      </c>
      <c r="L374" s="5">
        <v>12</v>
      </c>
      <c r="M374" s="5">
        <v>4</v>
      </c>
      <c r="N374" s="3" t="str">
        <f t="shared" si="49"/>
        <v>2013,12,4</v>
      </c>
      <c r="O374" t="s">
        <v>19</v>
      </c>
      <c r="P374">
        <f t="shared" si="57"/>
        <v>10.466666666666667</v>
      </c>
      <c r="Q374" s="6">
        <f t="shared" si="56"/>
        <v>47.81666666666667</v>
      </c>
      <c r="R374" s="7">
        <v>0.71666666666666667</v>
      </c>
      <c r="S374" s="7">
        <f t="shared" si="54"/>
        <v>0.70833333333333326</v>
      </c>
      <c r="T374" s="7">
        <f t="shared" si="50"/>
        <v>0.74930555555555556</v>
      </c>
      <c r="U374" s="7">
        <f t="shared" si="55"/>
        <v>0.73958333333333326</v>
      </c>
      <c r="V374">
        <f t="shared" si="51"/>
        <v>17</v>
      </c>
      <c r="W374" s="3">
        <f t="shared" si="52"/>
        <v>0.2</v>
      </c>
      <c r="X374" s="3">
        <f t="shared" si="53"/>
        <v>17.2</v>
      </c>
    </row>
    <row r="375" spans="9:24" x14ac:dyDescent="0.2">
      <c r="I375" s="2"/>
      <c r="J375" s="4">
        <v>433</v>
      </c>
      <c r="K375" s="5">
        <v>2013</v>
      </c>
      <c r="L375" s="5">
        <v>12</v>
      </c>
      <c r="M375" s="5">
        <v>7</v>
      </c>
      <c r="N375" s="3" t="str">
        <f t="shared" si="49"/>
        <v>2013,12,7</v>
      </c>
      <c r="O375" t="s">
        <v>26</v>
      </c>
      <c r="P375">
        <f t="shared" si="57"/>
        <v>7.2166666666666668</v>
      </c>
      <c r="Q375" s="6">
        <f t="shared" si="56"/>
        <v>7.2166666666666668</v>
      </c>
      <c r="R375" s="7"/>
      <c r="S375" s="7"/>
      <c r="T375" s="7" t="str">
        <f t="shared" si="50"/>
        <v/>
      </c>
      <c r="U375" s="7"/>
      <c r="V375">
        <f t="shared" si="51"/>
        <v>0</v>
      </c>
      <c r="W375" s="3">
        <f t="shared" si="52"/>
        <v>0</v>
      </c>
      <c r="X375" s="3">
        <f t="shared" si="53"/>
        <v>0</v>
      </c>
    </row>
    <row r="376" spans="9:24" x14ac:dyDescent="0.2">
      <c r="I376" s="2"/>
      <c r="J376" s="4">
        <v>884</v>
      </c>
      <c r="K376" s="5">
        <v>2013</v>
      </c>
      <c r="L376" s="5">
        <v>12</v>
      </c>
      <c r="M376" s="5">
        <v>7</v>
      </c>
      <c r="N376" s="3" t="str">
        <f t="shared" si="49"/>
        <v>2013,12,7</v>
      </c>
      <c r="O376" t="s">
        <v>26</v>
      </c>
      <c r="P376">
        <f t="shared" si="57"/>
        <v>14.733333333333333</v>
      </c>
      <c r="Q376" s="6">
        <f t="shared" si="56"/>
        <v>21.95</v>
      </c>
      <c r="R376" s="7"/>
      <c r="S376" s="7"/>
      <c r="T376" s="7" t="str">
        <f t="shared" si="50"/>
        <v/>
      </c>
      <c r="U376" s="7"/>
      <c r="V376">
        <f t="shared" si="51"/>
        <v>0</v>
      </c>
      <c r="W376" s="3">
        <f t="shared" si="52"/>
        <v>0</v>
      </c>
      <c r="X376" s="3">
        <f t="shared" si="53"/>
        <v>0</v>
      </c>
    </row>
    <row r="377" spans="9:24" x14ac:dyDescent="0.2">
      <c r="I377" s="2"/>
      <c r="J377" s="4">
        <v>581</v>
      </c>
      <c r="K377" s="5">
        <v>2013</v>
      </c>
      <c r="L377" s="5">
        <v>12</v>
      </c>
      <c r="M377" s="5">
        <v>7</v>
      </c>
      <c r="N377" s="3" t="str">
        <f t="shared" si="49"/>
        <v>2013,12,7</v>
      </c>
      <c r="O377" t="s">
        <v>26</v>
      </c>
      <c r="P377">
        <f t="shared" si="57"/>
        <v>9.6833333333333336</v>
      </c>
      <c r="Q377" s="6">
        <f t="shared" si="56"/>
        <v>31.633333333333333</v>
      </c>
      <c r="R377" s="7"/>
      <c r="S377" s="7"/>
      <c r="T377" s="7" t="str">
        <f t="shared" si="50"/>
        <v/>
      </c>
      <c r="U377" s="7"/>
      <c r="V377">
        <f t="shared" si="51"/>
        <v>0</v>
      </c>
      <c r="W377" s="3">
        <f t="shared" si="52"/>
        <v>0</v>
      </c>
      <c r="X377" s="3">
        <f t="shared" si="53"/>
        <v>0</v>
      </c>
    </row>
    <row r="378" spans="9:24" x14ac:dyDescent="0.2">
      <c r="I378" s="2"/>
      <c r="J378" s="4">
        <v>382</v>
      </c>
      <c r="K378" s="5">
        <v>2013</v>
      </c>
      <c r="L378" s="5">
        <v>12</v>
      </c>
      <c r="M378" s="5">
        <v>7</v>
      </c>
      <c r="N378" s="3" t="str">
        <f t="shared" si="49"/>
        <v>2013,12,7</v>
      </c>
      <c r="O378" t="s">
        <v>26</v>
      </c>
      <c r="P378">
        <f t="shared" si="57"/>
        <v>6.3666666666666663</v>
      </c>
      <c r="Q378" s="6">
        <f t="shared" si="56"/>
        <v>38</v>
      </c>
      <c r="R378" s="7"/>
      <c r="S378" s="7"/>
      <c r="T378" s="7" t="str">
        <f t="shared" si="50"/>
        <v/>
      </c>
      <c r="U378" s="7"/>
      <c r="V378">
        <f t="shared" si="51"/>
        <v>0</v>
      </c>
      <c r="W378" s="3">
        <f t="shared" si="52"/>
        <v>0</v>
      </c>
      <c r="X378" s="3">
        <f t="shared" si="53"/>
        <v>0</v>
      </c>
    </row>
    <row r="379" spans="9:24" x14ac:dyDescent="0.2">
      <c r="I379" s="2" t="s">
        <v>88</v>
      </c>
      <c r="J379" s="4">
        <v>705</v>
      </c>
      <c r="K379" s="5">
        <v>2013</v>
      </c>
      <c r="L379" s="5">
        <v>12</v>
      </c>
      <c r="M379" s="5">
        <v>7</v>
      </c>
      <c r="N379" s="3" t="str">
        <f t="shared" si="49"/>
        <v>2013,12,7</v>
      </c>
      <c r="O379" t="s">
        <v>26</v>
      </c>
      <c r="P379">
        <f t="shared" si="57"/>
        <v>11.75</v>
      </c>
      <c r="Q379" s="6">
        <f t="shared" si="56"/>
        <v>49.75</v>
      </c>
      <c r="R379" s="7">
        <v>0.30555555555555552</v>
      </c>
      <c r="S379" s="7">
        <f t="shared" si="54"/>
        <v>0.30208333333333331</v>
      </c>
      <c r="T379" s="7">
        <f t="shared" si="50"/>
        <v>0.33958333333333329</v>
      </c>
      <c r="U379" s="7">
        <f t="shared" si="55"/>
        <v>0.33333333333333331</v>
      </c>
      <c r="V379">
        <f t="shared" si="51"/>
        <v>7</v>
      </c>
      <c r="W379" s="3">
        <f t="shared" si="52"/>
        <v>0.33333333333333331</v>
      </c>
      <c r="X379" s="3">
        <f t="shared" si="53"/>
        <v>7.333333333333333</v>
      </c>
    </row>
    <row r="380" spans="9:24" x14ac:dyDescent="0.2">
      <c r="I380" s="2"/>
      <c r="J380" s="4">
        <v>195</v>
      </c>
      <c r="K380" s="5">
        <v>2013</v>
      </c>
      <c r="L380" s="5">
        <v>12</v>
      </c>
      <c r="M380" s="5">
        <v>12</v>
      </c>
      <c r="N380" s="3" t="str">
        <f t="shared" si="49"/>
        <v>2013,12,12</v>
      </c>
      <c r="O380" t="s">
        <v>53</v>
      </c>
      <c r="P380">
        <f t="shared" si="57"/>
        <v>3.25</v>
      </c>
      <c r="Q380" s="6">
        <f t="shared" si="56"/>
        <v>3.25</v>
      </c>
      <c r="R380" s="7"/>
      <c r="S380" s="7"/>
      <c r="T380" s="7" t="str">
        <f t="shared" si="50"/>
        <v/>
      </c>
      <c r="U380" s="7"/>
      <c r="V380">
        <f t="shared" si="51"/>
        <v>0</v>
      </c>
      <c r="W380" s="3">
        <f t="shared" si="52"/>
        <v>0</v>
      </c>
      <c r="X380" s="3">
        <f t="shared" si="53"/>
        <v>0</v>
      </c>
    </row>
    <row r="381" spans="9:24" x14ac:dyDescent="0.2">
      <c r="I381" s="2"/>
      <c r="J381" s="4">
        <v>418</v>
      </c>
      <c r="K381" s="5">
        <v>2013</v>
      </c>
      <c r="L381" s="5">
        <v>12</v>
      </c>
      <c r="M381" s="5">
        <v>12</v>
      </c>
      <c r="N381" s="3" t="str">
        <f t="shared" si="49"/>
        <v>2013,12,12</v>
      </c>
      <c r="O381" t="s">
        <v>53</v>
      </c>
      <c r="P381">
        <f t="shared" si="57"/>
        <v>6.9666666666666668</v>
      </c>
      <c r="Q381" s="6">
        <f t="shared" si="56"/>
        <v>10.216666666666667</v>
      </c>
      <c r="R381" s="7"/>
      <c r="S381" s="7"/>
      <c r="T381" s="7" t="str">
        <f t="shared" si="50"/>
        <v/>
      </c>
      <c r="U381" s="7"/>
      <c r="V381">
        <f t="shared" si="51"/>
        <v>0</v>
      </c>
      <c r="W381" s="3">
        <f t="shared" si="52"/>
        <v>0</v>
      </c>
      <c r="X381" s="3">
        <f t="shared" si="53"/>
        <v>0</v>
      </c>
    </row>
    <row r="382" spans="9:24" x14ac:dyDescent="0.2">
      <c r="I382" s="2"/>
      <c r="J382" s="4">
        <v>43</v>
      </c>
      <c r="K382" s="5">
        <v>2013</v>
      </c>
      <c r="L382" s="5">
        <v>12</v>
      </c>
      <c r="M382" s="5">
        <v>12</v>
      </c>
      <c r="N382" s="3" t="str">
        <f t="shared" si="49"/>
        <v>2013,12,12</v>
      </c>
      <c r="O382" t="s">
        <v>53</v>
      </c>
      <c r="P382">
        <f t="shared" si="57"/>
        <v>0.71666666666666667</v>
      </c>
      <c r="Q382" s="6">
        <f t="shared" si="56"/>
        <v>10.933333333333334</v>
      </c>
      <c r="R382" s="7"/>
      <c r="S382" s="7"/>
      <c r="T382" s="7" t="str">
        <f t="shared" si="50"/>
        <v/>
      </c>
      <c r="U382" s="7"/>
      <c r="V382">
        <f t="shared" si="51"/>
        <v>0</v>
      </c>
      <c r="W382" s="3">
        <f t="shared" si="52"/>
        <v>0</v>
      </c>
      <c r="X382" s="3">
        <f t="shared" si="53"/>
        <v>0</v>
      </c>
    </row>
    <row r="383" spans="9:24" x14ac:dyDescent="0.2">
      <c r="I383" s="2"/>
      <c r="J383" s="4">
        <v>392</v>
      </c>
      <c r="K383" s="5">
        <v>2013</v>
      </c>
      <c r="L383" s="5">
        <v>12</v>
      </c>
      <c r="M383" s="5">
        <v>12</v>
      </c>
      <c r="N383" s="3" t="str">
        <f t="shared" si="49"/>
        <v>2013,12,12</v>
      </c>
      <c r="O383" t="s">
        <v>53</v>
      </c>
      <c r="P383">
        <f t="shared" si="57"/>
        <v>6.5333333333333332</v>
      </c>
      <c r="Q383" s="6">
        <f t="shared" si="56"/>
        <v>17.466666666666669</v>
      </c>
      <c r="R383" s="7"/>
      <c r="S383" s="7"/>
      <c r="T383" s="7" t="str">
        <f t="shared" si="50"/>
        <v/>
      </c>
      <c r="U383" s="7"/>
      <c r="V383">
        <f t="shared" si="51"/>
        <v>0</v>
      </c>
      <c r="W383" s="3">
        <f t="shared" si="52"/>
        <v>0</v>
      </c>
      <c r="X383" s="3">
        <f t="shared" si="53"/>
        <v>0</v>
      </c>
    </row>
    <row r="384" spans="9:24" x14ac:dyDescent="0.2">
      <c r="I384" s="2"/>
      <c r="J384" s="4">
        <v>620</v>
      </c>
      <c r="K384" s="5">
        <v>2013</v>
      </c>
      <c r="L384" s="5">
        <v>12</v>
      </c>
      <c r="M384" s="5">
        <v>12</v>
      </c>
      <c r="N384" s="3" t="str">
        <f t="shared" si="49"/>
        <v>2013,12,12</v>
      </c>
      <c r="O384" t="s">
        <v>53</v>
      </c>
      <c r="P384">
        <f t="shared" si="57"/>
        <v>10.333333333333334</v>
      </c>
      <c r="Q384" s="6">
        <f t="shared" si="56"/>
        <v>27.800000000000004</v>
      </c>
      <c r="R384" s="7"/>
      <c r="S384" s="7"/>
      <c r="T384" s="7" t="str">
        <f t="shared" si="50"/>
        <v/>
      </c>
      <c r="U384" s="7"/>
      <c r="V384">
        <f t="shared" si="51"/>
        <v>0</v>
      </c>
      <c r="W384" s="3">
        <f t="shared" si="52"/>
        <v>0</v>
      </c>
      <c r="X384" s="3">
        <f t="shared" si="53"/>
        <v>0</v>
      </c>
    </row>
    <row r="385" spans="9:120" x14ac:dyDescent="0.2">
      <c r="I385" s="2" t="s">
        <v>89</v>
      </c>
      <c r="J385" s="4">
        <v>208</v>
      </c>
      <c r="K385" s="5">
        <v>2013</v>
      </c>
      <c r="L385" s="5">
        <v>12</v>
      </c>
      <c r="M385" s="5">
        <v>12</v>
      </c>
      <c r="N385" s="3" t="str">
        <f t="shared" si="49"/>
        <v>2013,12,12</v>
      </c>
      <c r="O385" t="s">
        <v>53</v>
      </c>
      <c r="P385">
        <f t="shared" si="57"/>
        <v>3.4666666666666668</v>
      </c>
      <c r="Q385" s="6">
        <f t="shared" si="56"/>
        <v>31.266666666666673</v>
      </c>
      <c r="R385" s="7">
        <v>0.3215277777777778</v>
      </c>
      <c r="S385" s="7">
        <f t="shared" si="54"/>
        <v>0.3125</v>
      </c>
      <c r="T385" s="7">
        <f t="shared" si="50"/>
        <v>0.34305555555555556</v>
      </c>
      <c r="U385" s="7">
        <f t="shared" si="55"/>
        <v>0.33333333333333331</v>
      </c>
      <c r="V385">
        <f t="shared" si="51"/>
        <v>7</v>
      </c>
      <c r="W385" s="3">
        <f t="shared" si="52"/>
        <v>0.71666666666666667</v>
      </c>
      <c r="X385" s="3">
        <f t="shared" si="53"/>
        <v>7.7166666666666668</v>
      </c>
    </row>
    <row r="386" spans="9:120" x14ac:dyDescent="0.2">
      <c r="I386" s="2"/>
      <c r="J386" s="4">
        <v>885</v>
      </c>
      <c r="K386" s="5">
        <v>2013</v>
      </c>
      <c r="L386" s="5">
        <v>12</v>
      </c>
      <c r="M386" s="5">
        <v>14</v>
      </c>
      <c r="N386" s="3" t="str">
        <f t="shared" si="49"/>
        <v>2013,12,14</v>
      </c>
      <c r="O386" t="s">
        <v>26</v>
      </c>
      <c r="P386">
        <f t="shared" si="57"/>
        <v>14.75</v>
      </c>
      <c r="Q386" s="6">
        <f t="shared" si="56"/>
        <v>14.75</v>
      </c>
      <c r="R386" s="7"/>
      <c r="S386" s="7"/>
      <c r="T386" s="7" t="str">
        <f t="shared" si="50"/>
        <v/>
      </c>
      <c r="U386" s="7"/>
      <c r="V386">
        <f t="shared" si="51"/>
        <v>0</v>
      </c>
      <c r="W386" s="3">
        <f t="shared" si="52"/>
        <v>0</v>
      </c>
      <c r="X386" s="3">
        <f t="shared" si="53"/>
        <v>0</v>
      </c>
    </row>
    <row r="387" spans="9:120" x14ac:dyDescent="0.2">
      <c r="I387" s="2"/>
      <c r="J387" s="4">
        <v>136</v>
      </c>
      <c r="K387" s="5">
        <v>2013</v>
      </c>
      <c r="L387" s="5">
        <v>12</v>
      </c>
      <c r="M387" s="5">
        <v>14</v>
      </c>
      <c r="N387" s="3" t="str">
        <f t="shared" ref="N387:N392" si="58">K387&amp;","&amp;L387&amp;","&amp;M387</f>
        <v>2013,12,14</v>
      </c>
      <c r="O387" t="s">
        <v>26</v>
      </c>
      <c r="P387">
        <f t="shared" si="57"/>
        <v>2.2666666666666666</v>
      </c>
      <c r="Q387" s="6">
        <f t="shared" si="56"/>
        <v>17.016666666666666</v>
      </c>
      <c r="R387" s="7"/>
      <c r="S387" s="7"/>
      <c r="T387" s="7" t="str">
        <f t="shared" ref="T387:T392" si="59">IF(ISBLANK(R387),"",R387+TIME(0,Q387,0))</f>
        <v/>
      </c>
      <c r="U387" s="7"/>
      <c r="V387">
        <f t="shared" si="51"/>
        <v>0</v>
      </c>
      <c r="W387" s="3">
        <f t="shared" si="52"/>
        <v>0</v>
      </c>
      <c r="X387" s="3">
        <f t="shared" si="53"/>
        <v>0</v>
      </c>
    </row>
    <row r="388" spans="9:120" x14ac:dyDescent="0.2">
      <c r="I388" s="2"/>
      <c r="J388" s="4">
        <v>489</v>
      </c>
      <c r="K388" s="5">
        <v>2013</v>
      </c>
      <c r="L388" s="5">
        <v>12</v>
      </c>
      <c r="M388" s="5">
        <v>14</v>
      </c>
      <c r="N388" s="3" t="str">
        <f t="shared" si="58"/>
        <v>2013,12,14</v>
      </c>
      <c r="O388" t="s">
        <v>26</v>
      </c>
      <c r="P388">
        <f t="shared" si="57"/>
        <v>8.15</v>
      </c>
      <c r="Q388" s="6">
        <f t="shared" si="56"/>
        <v>25.166666666666664</v>
      </c>
      <c r="R388" s="7"/>
      <c r="S388" s="7"/>
      <c r="T388" s="7" t="str">
        <f t="shared" si="59"/>
        <v/>
      </c>
      <c r="U388" s="7"/>
      <c r="V388">
        <f t="shared" ref="V388:V392" si="60">HOUR(R388)</f>
        <v>0</v>
      </c>
      <c r="W388" s="3">
        <f t="shared" ref="W388:W392" si="61">MINUTE(R388)/60</f>
        <v>0</v>
      </c>
      <c r="X388" s="3">
        <f t="shared" ref="X388:X392" si="62">V388+W388</f>
        <v>0</v>
      </c>
    </row>
    <row r="389" spans="9:120" x14ac:dyDescent="0.2">
      <c r="I389" s="2"/>
      <c r="J389" s="4">
        <v>322</v>
      </c>
      <c r="K389" s="5">
        <v>2013</v>
      </c>
      <c r="L389" s="5">
        <v>12</v>
      </c>
      <c r="M389" s="5">
        <v>14</v>
      </c>
      <c r="N389" s="3" t="str">
        <f t="shared" si="58"/>
        <v>2013,12,14</v>
      </c>
      <c r="O389" t="s">
        <v>26</v>
      </c>
      <c r="P389">
        <f t="shared" si="57"/>
        <v>5.3666666666666663</v>
      </c>
      <c r="Q389" s="6">
        <f t="shared" si="56"/>
        <v>30.533333333333331</v>
      </c>
      <c r="R389" s="7"/>
      <c r="S389" s="7"/>
      <c r="T389" s="7" t="str">
        <f t="shared" si="59"/>
        <v/>
      </c>
      <c r="U389" s="7"/>
      <c r="V389">
        <f t="shared" si="60"/>
        <v>0</v>
      </c>
      <c r="W389" s="3">
        <f t="shared" si="61"/>
        <v>0</v>
      </c>
      <c r="X389" s="3">
        <f t="shared" si="62"/>
        <v>0</v>
      </c>
    </row>
    <row r="390" spans="9:120" x14ac:dyDescent="0.2">
      <c r="I390" s="2"/>
      <c r="J390" s="4">
        <v>526</v>
      </c>
      <c r="K390" s="5">
        <v>2013</v>
      </c>
      <c r="L390" s="5">
        <v>12</v>
      </c>
      <c r="M390" s="5">
        <v>14</v>
      </c>
      <c r="N390" s="3" t="str">
        <f t="shared" si="58"/>
        <v>2013,12,14</v>
      </c>
      <c r="O390" t="s">
        <v>26</v>
      </c>
      <c r="P390">
        <f t="shared" si="57"/>
        <v>8.7666666666666675</v>
      </c>
      <c r="Q390" s="6">
        <f t="shared" si="56"/>
        <v>39.299999999999997</v>
      </c>
      <c r="R390" s="7"/>
      <c r="S390" s="7"/>
      <c r="T390" s="7" t="str">
        <f t="shared" si="59"/>
        <v/>
      </c>
      <c r="U390" s="7"/>
      <c r="V390">
        <f t="shared" si="60"/>
        <v>0</v>
      </c>
      <c r="W390" s="3">
        <f t="shared" si="61"/>
        <v>0</v>
      </c>
      <c r="X390" s="3">
        <f t="shared" si="62"/>
        <v>0</v>
      </c>
    </row>
    <row r="391" spans="9:120" x14ac:dyDescent="0.2">
      <c r="I391" s="2"/>
      <c r="J391" s="4">
        <v>484</v>
      </c>
      <c r="K391" s="5">
        <v>2013</v>
      </c>
      <c r="L391" s="5">
        <v>12</v>
      </c>
      <c r="M391" s="5">
        <v>14</v>
      </c>
      <c r="N391" s="3" t="str">
        <f t="shared" si="58"/>
        <v>2013,12,14</v>
      </c>
      <c r="O391" t="s">
        <v>26</v>
      </c>
      <c r="P391">
        <f t="shared" si="57"/>
        <v>8.0666666666666664</v>
      </c>
      <c r="Q391" s="6">
        <f t="shared" si="56"/>
        <v>47.36666666666666</v>
      </c>
      <c r="R391" s="7"/>
      <c r="S391" s="7"/>
      <c r="T391" s="7" t="str">
        <f t="shared" si="59"/>
        <v/>
      </c>
      <c r="U391" s="7"/>
      <c r="V391">
        <f t="shared" si="60"/>
        <v>0</v>
      </c>
      <c r="W391" s="3">
        <f t="shared" si="61"/>
        <v>0</v>
      </c>
      <c r="X391" s="3">
        <f t="shared" si="62"/>
        <v>0</v>
      </c>
    </row>
    <row r="392" spans="9:120" x14ac:dyDescent="0.2">
      <c r="I392" s="2" t="s">
        <v>90</v>
      </c>
      <c r="J392" s="4">
        <v>949</v>
      </c>
      <c r="K392" s="5">
        <v>2013</v>
      </c>
      <c r="L392" s="5">
        <v>12</v>
      </c>
      <c r="M392" s="5">
        <v>14</v>
      </c>
      <c r="N392" s="3" t="str">
        <f t="shared" si="58"/>
        <v>2013,12,14</v>
      </c>
      <c r="O392" t="s">
        <v>26</v>
      </c>
      <c r="P392">
        <f t="shared" si="57"/>
        <v>15.816666666666666</v>
      </c>
      <c r="Q392" s="6">
        <f t="shared" si="56"/>
        <v>63.183333333333323</v>
      </c>
      <c r="R392" s="7">
        <v>0.29652777777777778</v>
      </c>
      <c r="S392" s="7">
        <f t="shared" ref="S392" si="63">FLOOR(R392,"0:15")</f>
        <v>0.29166666666666663</v>
      </c>
      <c r="T392" s="7">
        <f t="shared" si="59"/>
        <v>0.34027777777777779</v>
      </c>
      <c r="U392" s="7">
        <f t="shared" ref="U392" si="64">FLOOR(T392,"0:15")</f>
        <v>0.33333333333333331</v>
      </c>
      <c r="V392">
        <f t="shared" si="60"/>
        <v>7</v>
      </c>
      <c r="W392" s="3">
        <f t="shared" si="61"/>
        <v>0.11666666666666667</v>
      </c>
      <c r="X392" s="3">
        <f t="shared" si="62"/>
        <v>7.1166666666666663</v>
      </c>
    </row>
    <row r="393" spans="9:120" x14ac:dyDescent="0.2">
      <c r="P393">
        <f>SUM(P2:P391)</f>
        <v>3535.5666666666675</v>
      </c>
    </row>
    <row r="394" spans="9:120" x14ac:dyDescent="0.2">
      <c r="Y394" s="7"/>
      <c r="Z394" s="7"/>
      <c r="AA394" s="7"/>
      <c r="AB394" s="7"/>
      <c r="AC394" s="7"/>
      <c r="AD394" s="7"/>
      <c r="AE394" s="7"/>
      <c r="AF394" s="7"/>
      <c r="AG394" s="7"/>
      <c r="AH394" s="7"/>
      <c r="AI394" s="7"/>
      <c r="AJ394" s="7"/>
      <c r="AK394" s="7"/>
      <c r="AL394" s="7"/>
      <c r="AM394" s="7"/>
      <c r="AN394" s="7"/>
      <c r="AO394" s="7"/>
      <c r="AP394" s="7"/>
      <c r="AQ394" s="7"/>
      <c r="AR394" s="7"/>
      <c r="AS394" s="7"/>
      <c r="AT394" s="7"/>
      <c r="AU394" s="7"/>
      <c r="AV394" s="7"/>
      <c r="AW394" s="7"/>
      <c r="AX394" s="7"/>
      <c r="AY394" s="7"/>
      <c r="AZ394" s="7"/>
      <c r="BA394" s="7"/>
      <c r="BB394" s="7"/>
      <c r="BC394" s="7"/>
      <c r="BD394" s="7"/>
      <c r="BE394" s="7"/>
      <c r="BF394" s="7"/>
      <c r="BG394" s="7"/>
      <c r="BH394" s="7"/>
      <c r="BI394" s="7"/>
      <c r="BJ394" s="7"/>
      <c r="BK394" s="7"/>
      <c r="BL394" s="7"/>
      <c r="BM394" s="7"/>
      <c r="BN394" s="7"/>
      <c r="BO394" s="7"/>
      <c r="BP394" s="7"/>
      <c r="BQ394" s="7"/>
      <c r="BR394" s="7"/>
      <c r="BS394" s="7"/>
      <c r="BT394" s="7"/>
      <c r="BU394" s="7"/>
      <c r="BV394" s="7"/>
      <c r="BW394" s="7"/>
      <c r="BX394" s="7"/>
      <c r="BY394" s="7"/>
      <c r="BZ394" s="7"/>
      <c r="CA394" s="7"/>
      <c r="CB394" s="7"/>
      <c r="CC394" s="7"/>
      <c r="CD394" s="7"/>
      <c r="CE394" s="7"/>
      <c r="CF394" s="7"/>
      <c r="CG394" s="7"/>
      <c r="CH394" s="7"/>
      <c r="CI394" s="7"/>
      <c r="CJ394" s="7"/>
      <c r="CK394" s="7"/>
      <c r="CL394" s="7"/>
      <c r="CM394" s="7"/>
      <c r="CN394" s="7"/>
      <c r="CO394" s="7"/>
      <c r="CP394" s="7"/>
      <c r="CQ394" s="7"/>
      <c r="CR394" s="7"/>
      <c r="CS394" s="7"/>
      <c r="CT394" s="7"/>
      <c r="CU394" s="7"/>
      <c r="CV394" s="7"/>
      <c r="CW394" s="7"/>
      <c r="CX394" s="7"/>
      <c r="CY394" s="7"/>
      <c r="CZ394" s="7"/>
      <c r="DA394" s="7"/>
      <c r="DB394" s="7"/>
      <c r="DC394" s="7"/>
      <c r="DD394" s="7"/>
      <c r="DE394" s="7"/>
      <c r="DF394" s="7"/>
      <c r="DG394" s="7"/>
      <c r="DH394" s="7"/>
      <c r="DI394" s="7"/>
      <c r="DJ394" s="7"/>
      <c r="DK394" s="7"/>
      <c r="DL394" s="7"/>
      <c r="DM394" s="7"/>
      <c r="DN394" s="7"/>
      <c r="DO394" s="7"/>
      <c r="DP394" s="7"/>
    </row>
    <row r="399" spans="9:120" x14ac:dyDescent="0.2">
      <c r="CU399" cm="1">
        <f t="array" ref="CU399">COUNTIF(2:3,AND(CU2:CU3=1,O2:O3="Wednesday"))</f>
        <v>0</v>
      </c>
    </row>
  </sheetData>
  <phoneticPr fontId="10" type="noConversion"/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3" name="Button 3">
              <controlPr defaultSize="0" print="0" autoFill="0" autoPict="0" macro="[0]!Sunday" altText="Sunday">
                <anchor moveWithCells="1" sizeWithCells="1">
                  <from>
                    <xdr:col>5</xdr:col>
                    <xdr:colOff>482600</xdr:colOff>
                    <xdr:row>8</xdr:row>
                    <xdr:rowOff>38100</xdr:rowOff>
                  </from>
                  <to>
                    <xdr:col>7</xdr:col>
                    <xdr:colOff>0</xdr:colOff>
                    <xdr:row>10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F49951-6FF0-814B-BCE3-197EC862E54A}">
  <dimension ref="A1:H97"/>
  <sheetViews>
    <sheetView workbookViewId="0">
      <selection activeCell="K106" sqref="K106"/>
    </sheetView>
  </sheetViews>
  <sheetFormatPr baseColWidth="10" defaultRowHeight="16" x14ac:dyDescent="0.2"/>
  <sheetData>
    <row r="1" spans="1:8" x14ac:dyDescent="0.2">
      <c r="A1" t="s">
        <v>97</v>
      </c>
      <c r="B1" t="s">
        <v>21</v>
      </c>
      <c r="C1" t="s">
        <v>94</v>
      </c>
      <c r="D1" t="s">
        <v>95</v>
      </c>
      <c r="E1" t="s">
        <v>19</v>
      </c>
      <c r="F1" t="s">
        <v>53</v>
      </c>
      <c r="G1" t="s">
        <v>96</v>
      </c>
      <c r="H1" t="s">
        <v>26</v>
      </c>
    </row>
    <row r="2" spans="1:8" x14ac:dyDescent="0.2">
      <c r="A2" s="1">
        <v>0.5</v>
      </c>
      <c r="B2">
        <v>0</v>
      </c>
      <c r="C2">
        <v>0</v>
      </c>
      <c r="D2">
        <v>0</v>
      </c>
      <c r="E2">
        <v>0</v>
      </c>
      <c r="F2">
        <v>1</v>
      </c>
      <c r="G2">
        <v>0</v>
      </c>
      <c r="H2">
        <v>3</v>
      </c>
    </row>
    <row r="3" spans="1:8" x14ac:dyDescent="0.2">
      <c r="A3" s="1">
        <v>0.51041666666666663</v>
      </c>
      <c r="B3">
        <v>0</v>
      </c>
      <c r="C3">
        <v>0</v>
      </c>
      <c r="D3">
        <v>0</v>
      </c>
      <c r="E3">
        <v>0</v>
      </c>
      <c r="F3">
        <v>1</v>
      </c>
      <c r="G3">
        <v>0</v>
      </c>
      <c r="H3">
        <v>4</v>
      </c>
    </row>
    <row r="4" spans="1:8" x14ac:dyDescent="0.2">
      <c r="A4" s="1">
        <v>0.52083333333333337</v>
      </c>
      <c r="B4">
        <v>2</v>
      </c>
      <c r="C4">
        <v>0</v>
      </c>
      <c r="D4">
        <v>0</v>
      </c>
      <c r="E4">
        <v>0</v>
      </c>
      <c r="F4">
        <v>1</v>
      </c>
      <c r="G4">
        <v>0</v>
      </c>
      <c r="H4">
        <v>3</v>
      </c>
    </row>
    <row r="5" spans="1:8" x14ac:dyDescent="0.2">
      <c r="A5" s="1">
        <v>0.53125</v>
      </c>
      <c r="B5">
        <v>2</v>
      </c>
      <c r="C5">
        <v>0</v>
      </c>
      <c r="D5">
        <v>0</v>
      </c>
      <c r="E5">
        <v>0</v>
      </c>
      <c r="F5">
        <v>1</v>
      </c>
      <c r="G5">
        <v>0</v>
      </c>
      <c r="H5">
        <v>3</v>
      </c>
    </row>
    <row r="6" spans="1:8" x14ac:dyDescent="0.2">
      <c r="A6" s="1">
        <v>0.54166666666666696</v>
      </c>
      <c r="B6">
        <v>2</v>
      </c>
      <c r="C6">
        <v>0</v>
      </c>
      <c r="D6">
        <v>0</v>
      </c>
      <c r="E6">
        <v>0</v>
      </c>
      <c r="F6">
        <v>1</v>
      </c>
      <c r="G6">
        <v>0</v>
      </c>
      <c r="H6">
        <v>0</v>
      </c>
    </row>
    <row r="7" spans="1:8" x14ac:dyDescent="0.2">
      <c r="A7" s="1">
        <v>0.55208333333333304</v>
      </c>
      <c r="B7">
        <v>2</v>
      </c>
      <c r="C7">
        <v>0</v>
      </c>
      <c r="D7">
        <v>0</v>
      </c>
      <c r="E7">
        <v>0</v>
      </c>
      <c r="F7">
        <v>1</v>
      </c>
      <c r="G7">
        <v>0</v>
      </c>
      <c r="H7">
        <v>0</v>
      </c>
    </row>
    <row r="8" spans="1:8" x14ac:dyDescent="0.2">
      <c r="A8" s="1">
        <v>0.5625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</row>
    <row r="9" spans="1:8" x14ac:dyDescent="0.2">
      <c r="A9" s="1">
        <v>0.57291666666666596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</row>
    <row r="10" spans="1:8" x14ac:dyDescent="0.2">
      <c r="A10" s="1">
        <v>0.58333333333333304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</row>
    <row r="11" spans="1:8" x14ac:dyDescent="0.2">
      <c r="A11" s="1">
        <v>0.59375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</row>
    <row r="12" spans="1:8" x14ac:dyDescent="0.2">
      <c r="A12" s="1">
        <v>0.60416666666666596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</row>
    <row r="13" spans="1:8" x14ac:dyDescent="0.2">
      <c r="A13" s="1">
        <v>0.61458333333333304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</row>
    <row r="14" spans="1:8" x14ac:dyDescent="0.2">
      <c r="A14" s="1">
        <v>0.625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</row>
    <row r="15" spans="1:8" x14ac:dyDescent="0.2">
      <c r="A15" s="1">
        <v>0.63541666666666663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</row>
    <row r="16" spans="1:8" x14ac:dyDescent="0.2">
      <c r="A16" s="1">
        <v>0.64583333333333337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2</v>
      </c>
    </row>
    <row r="17" spans="1:8" x14ac:dyDescent="0.2">
      <c r="A17" s="1">
        <v>0.656249999999999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2</v>
      </c>
    </row>
    <row r="18" spans="1:8" x14ac:dyDescent="0.2">
      <c r="A18" s="1">
        <v>0.66666666666666596</v>
      </c>
      <c r="B18">
        <v>2</v>
      </c>
      <c r="C18">
        <v>0</v>
      </c>
      <c r="D18">
        <v>0</v>
      </c>
      <c r="E18">
        <v>0</v>
      </c>
      <c r="F18">
        <v>0</v>
      </c>
      <c r="G18">
        <v>0</v>
      </c>
      <c r="H18">
        <v>3</v>
      </c>
    </row>
    <row r="19" spans="1:8" x14ac:dyDescent="0.2">
      <c r="A19" s="1">
        <v>0.67708333333333304</v>
      </c>
      <c r="B19">
        <v>4</v>
      </c>
      <c r="C19">
        <v>0</v>
      </c>
      <c r="D19">
        <v>0</v>
      </c>
      <c r="E19">
        <v>0</v>
      </c>
      <c r="F19">
        <v>0</v>
      </c>
      <c r="G19">
        <v>0</v>
      </c>
      <c r="H19">
        <v>4</v>
      </c>
    </row>
    <row r="20" spans="1:8" x14ac:dyDescent="0.2">
      <c r="A20" s="1">
        <v>0.687499999999999</v>
      </c>
      <c r="B20">
        <v>4</v>
      </c>
      <c r="C20">
        <v>0</v>
      </c>
      <c r="D20">
        <v>0</v>
      </c>
      <c r="E20">
        <v>0</v>
      </c>
      <c r="F20">
        <v>0</v>
      </c>
      <c r="G20">
        <v>0</v>
      </c>
      <c r="H20">
        <v>3</v>
      </c>
    </row>
    <row r="21" spans="1:8" x14ac:dyDescent="0.2">
      <c r="A21" s="1">
        <v>0.69791666666666596</v>
      </c>
      <c r="B21">
        <v>6</v>
      </c>
      <c r="C21">
        <v>0</v>
      </c>
      <c r="D21">
        <v>0</v>
      </c>
      <c r="E21">
        <v>0</v>
      </c>
      <c r="F21">
        <v>0</v>
      </c>
      <c r="G21">
        <v>0</v>
      </c>
      <c r="H21">
        <v>1</v>
      </c>
    </row>
    <row r="22" spans="1:8" x14ac:dyDescent="0.2">
      <c r="A22" s="1">
        <v>0.70833333333333304</v>
      </c>
      <c r="B22">
        <v>6</v>
      </c>
      <c r="C22">
        <v>0</v>
      </c>
      <c r="D22">
        <v>0</v>
      </c>
      <c r="E22">
        <v>0</v>
      </c>
      <c r="F22">
        <v>0</v>
      </c>
      <c r="G22">
        <v>0</v>
      </c>
      <c r="H22">
        <v>1</v>
      </c>
    </row>
    <row r="23" spans="1:8" x14ac:dyDescent="0.2">
      <c r="A23" s="1">
        <v>0.718749999999999</v>
      </c>
      <c r="B23">
        <v>8</v>
      </c>
      <c r="C23">
        <v>0</v>
      </c>
      <c r="D23">
        <v>0</v>
      </c>
      <c r="E23">
        <v>1</v>
      </c>
      <c r="F23">
        <v>0</v>
      </c>
      <c r="G23">
        <v>0</v>
      </c>
      <c r="H23">
        <v>0</v>
      </c>
    </row>
    <row r="24" spans="1:8" x14ac:dyDescent="0.2">
      <c r="A24" s="1">
        <v>0.72916666666666596</v>
      </c>
      <c r="B24">
        <v>4</v>
      </c>
      <c r="C24">
        <v>0</v>
      </c>
      <c r="D24">
        <v>0</v>
      </c>
      <c r="E24">
        <v>1</v>
      </c>
      <c r="F24">
        <v>0</v>
      </c>
      <c r="G24">
        <v>0</v>
      </c>
      <c r="H24">
        <v>0</v>
      </c>
    </row>
    <row r="25" spans="1:8" x14ac:dyDescent="0.2">
      <c r="A25" s="1">
        <v>0.73958333333333204</v>
      </c>
      <c r="B25">
        <v>4</v>
      </c>
      <c r="C25">
        <v>0</v>
      </c>
      <c r="D25">
        <v>0</v>
      </c>
      <c r="E25">
        <v>1</v>
      </c>
      <c r="F25">
        <v>0</v>
      </c>
      <c r="G25">
        <v>0</v>
      </c>
      <c r="H25">
        <v>0</v>
      </c>
    </row>
    <row r="26" spans="1:8" x14ac:dyDescent="0.2">
      <c r="A26" s="1">
        <v>0.749999999999999</v>
      </c>
      <c r="B26">
        <v>4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</row>
    <row r="27" spans="1:8" x14ac:dyDescent="0.2">
      <c r="A27" s="1">
        <v>0.76041666666666596</v>
      </c>
      <c r="B27">
        <v>2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</row>
    <row r="28" spans="1:8" x14ac:dyDescent="0.2">
      <c r="A28" s="1">
        <v>0.77083333333333337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</row>
    <row r="29" spans="1:8" x14ac:dyDescent="0.2">
      <c r="A29" s="1">
        <v>0.781249999999999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</row>
    <row r="30" spans="1:8" x14ac:dyDescent="0.2">
      <c r="A30" s="1">
        <v>0.79166666666666596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</row>
    <row r="31" spans="1:8" x14ac:dyDescent="0.2">
      <c r="A31" s="1">
        <v>0.80208333333333204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</row>
    <row r="32" spans="1:8" x14ac:dyDescent="0.2">
      <c r="A32" s="1">
        <v>0.812499999999999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</row>
    <row r="33" spans="1:8" x14ac:dyDescent="0.2">
      <c r="A33" s="1">
        <v>0.82291666666666596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</row>
    <row r="34" spans="1:8" x14ac:dyDescent="0.2">
      <c r="A34" s="1">
        <v>0.83333333333333204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</row>
    <row r="35" spans="1:8" x14ac:dyDescent="0.2">
      <c r="A35" s="1">
        <v>0.843749999999999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</row>
    <row r="36" spans="1:8" x14ac:dyDescent="0.2">
      <c r="A36" s="1">
        <v>0.85416666666666496</v>
      </c>
      <c r="B36">
        <v>0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</row>
    <row r="37" spans="1:8" x14ac:dyDescent="0.2">
      <c r="A37" s="1">
        <v>0.86458333333333204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</row>
    <row r="38" spans="1:8" x14ac:dyDescent="0.2">
      <c r="A38" s="1">
        <v>0.874999999999999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</row>
    <row r="39" spans="1:8" x14ac:dyDescent="0.2">
      <c r="A39" s="1">
        <v>0.88541666666666496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</row>
    <row r="40" spans="1:8" x14ac:dyDescent="0.2">
      <c r="A40" s="1">
        <v>0.89583333333333204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</row>
    <row r="41" spans="1:8" x14ac:dyDescent="0.2">
      <c r="A41" s="1">
        <v>0.906249999999999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</row>
    <row r="42" spans="1:8" x14ac:dyDescent="0.2">
      <c r="A42" s="1">
        <v>0.91666666666666496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</row>
    <row r="43" spans="1:8" x14ac:dyDescent="0.2">
      <c r="A43" s="1">
        <v>0.92708333333333204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</row>
    <row r="44" spans="1:8" x14ac:dyDescent="0.2">
      <c r="A44" s="1">
        <v>0.937499999999998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</row>
    <row r="45" spans="1:8" x14ac:dyDescent="0.2">
      <c r="A45" s="1">
        <v>0.94791666666666496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</row>
    <row r="46" spans="1:8" x14ac:dyDescent="0.2">
      <c r="A46" s="1">
        <v>0.95833333333333204</v>
      </c>
      <c r="B46">
        <v>0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</row>
    <row r="47" spans="1:8" x14ac:dyDescent="0.2">
      <c r="A47" s="1">
        <v>0.968749999999998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</row>
    <row r="48" spans="1:8" x14ac:dyDescent="0.2">
      <c r="A48" s="1">
        <v>0.97916666666666496</v>
      </c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</row>
    <row r="49" spans="1:8" x14ac:dyDescent="0.2">
      <c r="A49" s="1">
        <v>0.98958333333333204</v>
      </c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</row>
    <row r="50" spans="1:8" x14ac:dyDescent="0.2">
      <c r="A50" s="1">
        <v>0.999999999999998</v>
      </c>
      <c r="B50">
        <v>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</row>
    <row r="51" spans="1:8" x14ac:dyDescent="0.2">
      <c r="A51" s="1">
        <v>1.0416666666666666E-2</v>
      </c>
      <c r="B51">
        <v>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</row>
    <row r="52" spans="1:8" x14ac:dyDescent="0.2">
      <c r="A52" s="1">
        <v>2.0833333333337901E-2</v>
      </c>
      <c r="B52">
        <v>0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</row>
    <row r="53" spans="1:8" x14ac:dyDescent="0.2">
      <c r="A53" s="1">
        <v>3.1250000000008202E-2</v>
      </c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</row>
    <row r="54" spans="1:8" x14ac:dyDescent="0.2">
      <c r="A54" s="1">
        <v>4.1666666666667899E-2</v>
      </c>
      <c r="B54">
        <v>0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</row>
    <row r="55" spans="1:8" x14ac:dyDescent="0.2">
      <c r="A55" s="1">
        <v>5.2083333333338401E-2</v>
      </c>
      <c r="B55">
        <v>0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</row>
    <row r="56" spans="1:8" x14ac:dyDescent="0.2">
      <c r="A56" s="1">
        <v>6.2500000000007994E-2</v>
      </c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</row>
    <row r="57" spans="1:8" x14ac:dyDescent="0.2">
      <c r="A57" s="1">
        <v>7.2916666666678495E-2</v>
      </c>
      <c r="B57">
        <v>0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</row>
    <row r="58" spans="1:8" x14ac:dyDescent="0.2">
      <c r="A58" s="1">
        <v>8.3333333333348997E-2</v>
      </c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</row>
    <row r="59" spans="1:8" x14ac:dyDescent="0.2">
      <c r="A59" s="1">
        <v>9.3750000000019498E-2</v>
      </c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</row>
    <row r="60" spans="1:8" x14ac:dyDescent="0.2">
      <c r="A60" s="1">
        <v>0.10416666666669</v>
      </c>
      <c r="B60">
        <v>0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</row>
    <row r="61" spans="1:8" x14ac:dyDescent="0.2">
      <c r="A61" s="1">
        <v>0.11458333333336</v>
      </c>
      <c r="B61">
        <v>0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</row>
    <row r="62" spans="1:8" x14ac:dyDescent="0.2">
      <c r="A62" s="1">
        <v>0.125000000000031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</row>
    <row r="63" spans="1:8" x14ac:dyDescent="0.2">
      <c r="A63" s="1">
        <v>0.13541666666670099</v>
      </c>
      <c r="B63">
        <v>0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</row>
    <row r="64" spans="1:8" x14ac:dyDescent="0.2">
      <c r="A64" s="1">
        <v>0.14583333333337201</v>
      </c>
      <c r="B64">
        <v>0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</row>
    <row r="65" spans="1:8" x14ac:dyDescent="0.2">
      <c r="A65" s="1">
        <v>0.15625000000004199</v>
      </c>
      <c r="B65">
        <v>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</row>
    <row r="66" spans="1:8" x14ac:dyDescent="0.2">
      <c r="A66" s="1">
        <v>0.16666666666671301</v>
      </c>
      <c r="B66">
        <v>0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</row>
    <row r="67" spans="1:8" x14ac:dyDescent="0.2">
      <c r="A67" s="1">
        <v>0.177083333333384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</row>
    <row r="68" spans="1:8" x14ac:dyDescent="0.2">
      <c r="A68" s="1">
        <v>0.18750000000005401</v>
      </c>
      <c r="B68">
        <v>0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</row>
    <row r="69" spans="1:8" x14ac:dyDescent="0.2">
      <c r="A69" s="1">
        <v>0.197916666666725</v>
      </c>
      <c r="B69">
        <v>0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</row>
    <row r="70" spans="1:8" x14ac:dyDescent="0.2">
      <c r="A70" s="1">
        <v>0.20833333333339499</v>
      </c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</row>
    <row r="71" spans="1:8" x14ac:dyDescent="0.2">
      <c r="A71" s="1">
        <v>0.218750000000066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</row>
    <row r="72" spans="1:8" x14ac:dyDescent="0.2">
      <c r="A72" s="1">
        <v>0.22916666666673599</v>
      </c>
      <c r="B72">
        <v>0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</row>
    <row r="73" spans="1:8" x14ac:dyDescent="0.2">
      <c r="A73" s="1">
        <v>0.23958333333333334</v>
      </c>
      <c r="B73">
        <v>0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</row>
    <row r="74" spans="1:8" x14ac:dyDescent="0.2">
      <c r="A74" s="1">
        <v>0.25000000000007699</v>
      </c>
      <c r="B74">
        <v>0</v>
      </c>
      <c r="C74">
        <v>0</v>
      </c>
      <c r="D74">
        <v>0</v>
      </c>
      <c r="E74">
        <v>2</v>
      </c>
      <c r="F74">
        <v>2</v>
      </c>
      <c r="G74">
        <v>0</v>
      </c>
      <c r="H74">
        <v>0</v>
      </c>
    </row>
    <row r="75" spans="1:8" x14ac:dyDescent="0.2">
      <c r="A75" s="1">
        <v>0.26041666666674801</v>
      </c>
      <c r="B75">
        <v>0</v>
      </c>
      <c r="C75">
        <v>0</v>
      </c>
      <c r="D75">
        <v>0</v>
      </c>
      <c r="E75">
        <v>9</v>
      </c>
      <c r="F75">
        <v>2</v>
      </c>
      <c r="G75">
        <v>0</v>
      </c>
      <c r="H75">
        <v>0</v>
      </c>
    </row>
    <row r="76" spans="1:8" x14ac:dyDescent="0.2">
      <c r="A76" s="1">
        <v>0.27083333333341802</v>
      </c>
      <c r="B76">
        <v>0</v>
      </c>
      <c r="C76">
        <v>0</v>
      </c>
      <c r="D76">
        <v>0</v>
      </c>
      <c r="E76">
        <v>13</v>
      </c>
      <c r="F76">
        <v>3</v>
      </c>
      <c r="G76">
        <v>0</v>
      </c>
      <c r="H76">
        <v>0</v>
      </c>
    </row>
    <row r="77" spans="1:8" x14ac:dyDescent="0.2">
      <c r="A77" s="1">
        <v>0.28125000000008898</v>
      </c>
      <c r="B77">
        <v>0</v>
      </c>
      <c r="C77">
        <v>0</v>
      </c>
      <c r="D77">
        <v>0</v>
      </c>
      <c r="E77">
        <v>11</v>
      </c>
      <c r="F77">
        <v>3</v>
      </c>
      <c r="G77">
        <v>0</v>
      </c>
      <c r="H77">
        <v>1</v>
      </c>
    </row>
    <row r="78" spans="1:8" x14ac:dyDescent="0.2">
      <c r="A78" s="1">
        <v>0.291666666666759</v>
      </c>
      <c r="B78">
        <v>2</v>
      </c>
      <c r="C78">
        <v>0</v>
      </c>
      <c r="D78">
        <v>0</v>
      </c>
      <c r="E78">
        <v>13</v>
      </c>
      <c r="F78">
        <v>4</v>
      </c>
      <c r="G78">
        <v>0</v>
      </c>
      <c r="H78">
        <v>2</v>
      </c>
    </row>
    <row r="79" spans="1:8" x14ac:dyDescent="0.2">
      <c r="A79" s="1">
        <v>0.30208333333343002</v>
      </c>
      <c r="B79">
        <v>2</v>
      </c>
      <c r="C79">
        <v>0</v>
      </c>
      <c r="D79">
        <v>0</v>
      </c>
      <c r="E79">
        <v>8</v>
      </c>
      <c r="F79">
        <v>4</v>
      </c>
      <c r="G79">
        <v>0</v>
      </c>
      <c r="H79">
        <v>3</v>
      </c>
    </row>
    <row r="80" spans="1:8" x14ac:dyDescent="0.2">
      <c r="A80" s="1">
        <v>0.31250000000009998</v>
      </c>
      <c r="B80">
        <v>2</v>
      </c>
      <c r="C80">
        <v>0</v>
      </c>
      <c r="D80">
        <v>0</v>
      </c>
      <c r="E80">
        <v>8</v>
      </c>
      <c r="F80">
        <v>5</v>
      </c>
      <c r="G80">
        <v>0</v>
      </c>
      <c r="H80">
        <v>2</v>
      </c>
    </row>
    <row r="81" spans="1:8" x14ac:dyDescent="0.2">
      <c r="A81" s="1">
        <v>0.32291666666677099</v>
      </c>
      <c r="B81">
        <v>2</v>
      </c>
      <c r="C81">
        <v>0</v>
      </c>
      <c r="D81">
        <v>0</v>
      </c>
      <c r="E81">
        <v>9</v>
      </c>
      <c r="F81">
        <v>5</v>
      </c>
      <c r="G81">
        <v>0</v>
      </c>
      <c r="H81">
        <v>2</v>
      </c>
    </row>
    <row r="82" spans="1:8" x14ac:dyDescent="0.2">
      <c r="A82" s="1">
        <v>0.33333333333344101</v>
      </c>
      <c r="B82">
        <v>2</v>
      </c>
      <c r="C82">
        <v>0</v>
      </c>
      <c r="D82">
        <v>0</v>
      </c>
      <c r="E82">
        <v>1</v>
      </c>
      <c r="F82">
        <v>3</v>
      </c>
      <c r="G82">
        <v>0</v>
      </c>
      <c r="H82">
        <v>0</v>
      </c>
    </row>
    <row r="83" spans="1:8" x14ac:dyDescent="0.2">
      <c r="A83" s="1">
        <v>0.34375000000011202</v>
      </c>
      <c r="B83">
        <v>2</v>
      </c>
      <c r="C83">
        <v>0</v>
      </c>
      <c r="D83">
        <v>0</v>
      </c>
      <c r="E83">
        <v>1</v>
      </c>
      <c r="F83">
        <v>0</v>
      </c>
      <c r="G83">
        <v>0</v>
      </c>
      <c r="H83">
        <v>0</v>
      </c>
    </row>
    <row r="84" spans="1:8" x14ac:dyDescent="0.2">
      <c r="A84" s="1">
        <v>0.35416666666678198</v>
      </c>
      <c r="B84">
        <v>2</v>
      </c>
      <c r="C84">
        <v>0</v>
      </c>
      <c r="D84">
        <v>0</v>
      </c>
      <c r="E84">
        <v>0</v>
      </c>
      <c r="F84">
        <v>0</v>
      </c>
      <c r="G84">
        <v>0</v>
      </c>
      <c r="H84">
        <v>1</v>
      </c>
    </row>
    <row r="85" spans="1:8" x14ac:dyDescent="0.2">
      <c r="A85" s="1">
        <v>0.364583333333453</v>
      </c>
      <c r="B85">
        <v>4</v>
      </c>
      <c r="C85">
        <v>0</v>
      </c>
      <c r="D85">
        <v>0</v>
      </c>
      <c r="E85">
        <v>0</v>
      </c>
      <c r="F85">
        <v>0</v>
      </c>
      <c r="G85">
        <v>0</v>
      </c>
      <c r="H85">
        <v>1</v>
      </c>
    </row>
    <row r="86" spans="1:8" x14ac:dyDescent="0.2">
      <c r="A86" s="1">
        <v>0.37500000000012301</v>
      </c>
      <c r="B86">
        <v>10</v>
      </c>
      <c r="C86">
        <v>0</v>
      </c>
      <c r="D86">
        <v>0</v>
      </c>
      <c r="E86">
        <v>1</v>
      </c>
      <c r="F86">
        <v>0</v>
      </c>
      <c r="G86">
        <v>0</v>
      </c>
      <c r="H86">
        <v>0</v>
      </c>
    </row>
    <row r="87" spans="1:8" x14ac:dyDescent="0.2">
      <c r="A87" s="1">
        <v>0.38541666666679397</v>
      </c>
      <c r="B87">
        <v>12</v>
      </c>
      <c r="C87">
        <v>0</v>
      </c>
      <c r="D87">
        <v>0</v>
      </c>
      <c r="E87">
        <v>1</v>
      </c>
      <c r="F87">
        <v>0</v>
      </c>
      <c r="G87">
        <v>0</v>
      </c>
      <c r="H87">
        <v>0</v>
      </c>
    </row>
    <row r="88" spans="1:8" x14ac:dyDescent="0.2">
      <c r="A88" s="1">
        <v>0.39583333333346399</v>
      </c>
      <c r="B88">
        <v>10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</row>
    <row r="89" spans="1:8" x14ac:dyDescent="0.2">
      <c r="A89" s="1">
        <v>0.406250000000135</v>
      </c>
      <c r="B89">
        <v>6</v>
      </c>
      <c r="C89">
        <v>0</v>
      </c>
      <c r="D89">
        <v>0</v>
      </c>
      <c r="E89">
        <v>0</v>
      </c>
      <c r="F89">
        <v>0</v>
      </c>
      <c r="G89">
        <v>0</v>
      </c>
      <c r="H89">
        <v>1</v>
      </c>
    </row>
    <row r="90" spans="1:8" x14ac:dyDescent="0.2">
      <c r="A90" s="1">
        <v>0.41666666666680502</v>
      </c>
      <c r="B90">
        <v>6</v>
      </c>
      <c r="C90">
        <v>0</v>
      </c>
      <c r="D90">
        <v>0</v>
      </c>
      <c r="E90">
        <v>1</v>
      </c>
      <c r="F90">
        <v>1</v>
      </c>
      <c r="G90">
        <v>0</v>
      </c>
      <c r="H90">
        <v>1</v>
      </c>
    </row>
    <row r="91" spans="1:8" x14ac:dyDescent="0.2">
      <c r="A91" s="1">
        <v>0.42708333333347598</v>
      </c>
      <c r="B91">
        <v>4</v>
      </c>
      <c r="C91">
        <v>0</v>
      </c>
      <c r="D91">
        <v>0</v>
      </c>
      <c r="E91">
        <v>1</v>
      </c>
      <c r="F91">
        <v>1</v>
      </c>
      <c r="G91">
        <v>0</v>
      </c>
      <c r="H91">
        <v>1</v>
      </c>
    </row>
    <row r="92" spans="1:8" x14ac:dyDescent="0.2">
      <c r="A92" s="1">
        <v>0.43750000000014599</v>
      </c>
      <c r="B92">
        <v>2</v>
      </c>
      <c r="C92">
        <v>0</v>
      </c>
      <c r="D92">
        <v>0</v>
      </c>
      <c r="E92">
        <v>1</v>
      </c>
      <c r="F92">
        <v>1</v>
      </c>
      <c r="G92">
        <v>0</v>
      </c>
      <c r="H92">
        <v>0</v>
      </c>
    </row>
    <row r="93" spans="1:8" x14ac:dyDescent="0.2">
      <c r="A93" s="1">
        <v>0.44791666666681701</v>
      </c>
      <c r="B93">
        <v>0</v>
      </c>
      <c r="C93">
        <v>0</v>
      </c>
      <c r="D93">
        <v>0</v>
      </c>
      <c r="E93">
        <v>1</v>
      </c>
      <c r="F93">
        <v>0</v>
      </c>
      <c r="G93">
        <v>0</v>
      </c>
      <c r="H93">
        <v>0</v>
      </c>
    </row>
    <row r="94" spans="1:8" x14ac:dyDescent="0.2">
      <c r="A94" s="1">
        <v>0.45833333333333331</v>
      </c>
      <c r="B94">
        <v>0</v>
      </c>
      <c r="C94">
        <v>0</v>
      </c>
      <c r="D94">
        <v>0</v>
      </c>
      <c r="E94">
        <v>1</v>
      </c>
      <c r="F94">
        <v>0</v>
      </c>
      <c r="G94">
        <v>0</v>
      </c>
      <c r="H94">
        <v>0</v>
      </c>
    </row>
    <row r="95" spans="1:8" x14ac:dyDescent="0.2">
      <c r="A95" s="1">
        <v>0.46875</v>
      </c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</row>
    <row r="96" spans="1:8" x14ac:dyDescent="0.2">
      <c r="A96" s="1">
        <v>0.479166666666828</v>
      </c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  <c r="H96">
        <v>1</v>
      </c>
    </row>
    <row r="97" spans="1:8" x14ac:dyDescent="0.2">
      <c r="A97" s="1">
        <v>0.48958333333349902</v>
      </c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  <c r="H97">
        <v>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2020-10-07T19:01:27Z</dcterms:created>
  <dcterms:modified xsi:type="dcterms:W3CDTF">2023-06-23T17:24:19Z</dcterms:modified>
</cp:coreProperties>
</file>